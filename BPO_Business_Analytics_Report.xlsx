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uti\Downloads\"/>
    </mc:Choice>
  </mc:AlternateContent>
  <xr:revisionPtr revIDLastSave="0" documentId="13_ncr:1_{D7ED3EAB-4B94-4449-B833-82CD666CFA2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shboard" sheetId="1" r:id="rId1"/>
    <sheet name="Raw Data" sheetId="2" r:id="rId2"/>
    <sheet name="Region Summary" sheetId="3" r:id="rId3"/>
    <sheet name="Client Summary" sheetId="4" r:id="rId4"/>
    <sheet name="Campaign Summary" sheetId="5" r:id="rId5"/>
    <sheet name="Monthly Trend" sheetId="6" r:id="rId6"/>
    <sheet name="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" i="6" l="1"/>
  <c r="L25" i="6" s="1"/>
  <c r="J25" i="6"/>
  <c r="I25" i="6"/>
  <c r="H25" i="6"/>
  <c r="G25" i="6"/>
  <c r="F25" i="6"/>
  <c r="E25" i="6"/>
  <c r="D25" i="6"/>
  <c r="C25" i="6"/>
  <c r="B25" i="6"/>
  <c r="K24" i="6"/>
  <c r="L24" i="6" s="1"/>
  <c r="J24" i="6"/>
  <c r="I24" i="6"/>
  <c r="H24" i="6"/>
  <c r="G24" i="6"/>
  <c r="F24" i="6"/>
  <c r="E24" i="6"/>
  <c r="D24" i="6"/>
  <c r="C24" i="6"/>
  <c r="B24" i="6"/>
  <c r="K23" i="6"/>
  <c r="L23" i="6" s="1"/>
  <c r="J23" i="6"/>
  <c r="I23" i="6"/>
  <c r="H23" i="6"/>
  <c r="G23" i="6"/>
  <c r="F23" i="6"/>
  <c r="E23" i="6"/>
  <c r="D23" i="6"/>
  <c r="C23" i="6"/>
  <c r="B23" i="6"/>
  <c r="K22" i="6"/>
  <c r="L22" i="6" s="1"/>
  <c r="J22" i="6"/>
  <c r="I22" i="6"/>
  <c r="H22" i="6"/>
  <c r="G22" i="6"/>
  <c r="F22" i="6"/>
  <c r="E22" i="6"/>
  <c r="D22" i="6"/>
  <c r="C22" i="6"/>
  <c r="B22" i="6"/>
  <c r="K21" i="6"/>
  <c r="L21" i="6" s="1"/>
  <c r="J21" i="6"/>
  <c r="I21" i="6"/>
  <c r="H21" i="6"/>
  <c r="G21" i="6"/>
  <c r="F21" i="6"/>
  <c r="E21" i="6"/>
  <c r="D21" i="6"/>
  <c r="C21" i="6"/>
  <c r="B21" i="6"/>
  <c r="K20" i="6"/>
  <c r="L20" i="6" s="1"/>
  <c r="J20" i="6"/>
  <c r="I20" i="6"/>
  <c r="H20" i="6"/>
  <c r="G20" i="6"/>
  <c r="F20" i="6"/>
  <c r="E20" i="6"/>
  <c r="D20" i="6"/>
  <c r="C20" i="6"/>
  <c r="B20" i="6"/>
  <c r="K19" i="6"/>
  <c r="L19" i="6" s="1"/>
  <c r="J19" i="6"/>
  <c r="I19" i="6"/>
  <c r="H19" i="6"/>
  <c r="G19" i="6"/>
  <c r="F19" i="6"/>
  <c r="E19" i="6"/>
  <c r="D19" i="6"/>
  <c r="C19" i="6"/>
  <c r="B19" i="6"/>
  <c r="K18" i="6"/>
  <c r="L18" i="6" s="1"/>
  <c r="J18" i="6"/>
  <c r="I18" i="6"/>
  <c r="H18" i="6"/>
  <c r="G18" i="6"/>
  <c r="F18" i="6"/>
  <c r="E18" i="6"/>
  <c r="D18" i="6"/>
  <c r="C18" i="6"/>
  <c r="B18" i="6"/>
  <c r="K17" i="6"/>
  <c r="L17" i="6" s="1"/>
  <c r="J17" i="6"/>
  <c r="I17" i="6"/>
  <c r="H17" i="6"/>
  <c r="G17" i="6"/>
  <c r="F17" i="6"/>
  <c r="E17" i="6"/>
  <c r="D17" i="6"/>
  <c r="C17" i="6"/>
  <c r="B17" i="6"/>
  <c r="K16" i="6"/>
  <c r="L16" i="6" s="1"/>
  <c r="J16" i="6"/>
  <c r="I16" i="6"/>
  <c r="H16" i="6"/>
  <c r="G16" i="6"/>
  <c r="F16" i="6"/>
  <c r="E16" i="6"/>
  <c r="D16" i="6"/>
  <c r="C16" i="6"/>
  <c r="B16" i="6"/>
  <c r="K15" i="6"/>
  <c r="L15" i="6" s="1"/>
  <c r="J15" i="6"/>
  <c r="I15" i="6"/>
  <c r="H15" i="6"/>
  <c r="G15" i="6"/>
  <c r="F15" i="6"/>
  <c r="E15" i="6"/>
  <c r="D15" i="6"/>
  <c r="C15" i="6"/>
  <c r="B15" i="6"/>
  <c r="K14" i="6"/>
  <c r="L14" i="6" s="1"/>
  <c r="J14" i="6"/>
  <c r="I14" i="6"/>
  <c r="H14" i="6"/>
  <c r="G14" i="6"/>
  <c r="F14" i="6"/>
  <c r="E14" i="6"/>
  <c r="D14" i="6"/>
  <c r="C14" i="6"/>
  <c r="B14" i="6"/>
  <c r="K13" i="6"/>
  <c r="L13" i="6" s="1"/>
  <c r="J13" i="6"/>
  <c r="I13" i="6"/>
  <c r="H13" i="6"/>
  <c r="G13" i="6"/>
  <c r="F13" i="6"/>
  <c r="E13" i="6"/>
  <c r="D13" i="6"/>
  <c r="C13" i="6"/>
  <c r="B13" i="6"/>
  <c r="K12" i="6"/>
  <c r="L12" i="6" s="1"/>
  <c r="J12" i="6"/>
  <c r="I12" i="6"/>
  <c r="H12" i="6"/>
  <c r="G12" i="6"/>
  <c r="F12" i="6"/>
  <c r="E12" i="6"/>
  <c r="D12" i="6"/>
  <c r="C12" i="6"/>
  <c r="B12" i="6"/>
  <c r="K11" i="6"/>
  <c r="L11" i="6" s="1"/>
  <c r="J11" i="6"/>
  <c r="I11" i="6"/>
  <c r="H11" i="6"/>
  <c r="G11" i="6"/>
  <c r="F11" i="6"/>
  <c r="E11" i="6"/>
  <c r="D11" i="6"/>
  <c r="C11" i="6"/>
  <c r="B11" i="6"/>
  <c r="K10" i="6"/>
  <c r="L10" i="6" s="1"/>
  <c r="J10" i="6"/>
  <c r="I10" i="6"/>
  <c r="H10" i="6"/>
  <c r="G10" i="6"/>
  <c r="F10" i="6"/>
  <c r="E10" i="6"/>
  <c r="D10" i="6"/>
  <c r="C10" i="6"/>
  <c r="B10" i="6"/>
  <c r="K9" i="6"/>
  <c r="L9" i="6" s="1"/>
  <c r="J9" i="6"/>
  <c r="I9" i="6"/>
  <c r="H9" i="6"/>
  <c r="G9" i="6"/>
  <c r="F9" i="6"/>
  <c r="E9" i="6"/>
  <c r="D9" i="6"/>
  <c r="C9" i="6"/>
  <c r="B9" i="6"/>
  <c r="K8" i="6"/>
  <c r="L8" i="6" s="1"/>
  <c r="J8" i="6"/>
  <c r="I8" i="6"/>
  <c r="H8" i="6"/>
  <c r="G8" i="6"/>
  <c r="F8" i="6"/>
  <c r="E8" i="6"/>
  <c r="D8" i="6"/>
  <c r="C8" i="6"/>
  <c r="B8" i="6"/>
  <c r="K7" i="6"/>
  <c r="L7" i="6" s="1"/>
  <c r="J7" i="6"/>
  <c r="I7" i="6"/>
  <c r="H7" i="6"/>
  <c r="G7" i="6"/>
  <c r="F7" i="6"/>
  <c r="E7" i="6"/>
  <c r="D7" i="6"/>
  <c r="C7" i="6"/>
  <c r="B7" i="6"/>
  <c r="K6" i="6"/>
  <c r="L6" i="6" s="1"/>
  <c r="J6" i="6"/>
  <c r="I6" i="6"/>
  <c r="H6" i="6"/>
  <c r="G6" i="6"/>
  <c r="F6" i="6"/>
  <c r="E6" i="6"/>
  <c r="D6" i="6"/>
  <c r="C6" i="6"/>
  <c r="B6" i="6"/>
  <c r="K5" i="6"/>
  <c r="L5" i="6" s="1"/>
  <c r="J5" i="6"/>
  <c r="I5" i="6"/>
  <c r="H5" i="6"/>
  <c r="G5" i="6"/>
  <c r="F5" i="6"/>
  <c r="E5" i="6"/>
  <c r="D5" i="6"/>
  <c r="C5" i="6"/>
  <c r="B5" i="6"/>
  <c r="K4" i="6"/>
  <c r="L4" i="6" s="1"/>
  <c r="J4" i="6"/>
  <c r="I4" i="6"/>
  <c r="H4" i="6"/>
  <c r="G4" i="6"/>
  <c r="F4" i="6"/>
  <c r="E4" i="6"/>
  <c r="D4" i="6"/>
  <c r="C4" i="6"/>
  <c r="B4" i="6"/>
  <c r="K3" i="6"/>
  <c r="L3" i="6" s="1"/>
  <c r="J3" i="6"/>
  <c r="I3" i="6"/>
  <c r="H3" i="6"/>
  <c r="G3" i="6"/>
  <c r="F3" i="6"/>
  <c r="E3" i="6"/>
  <c r="D3" i="6"/>
  <c r="C3" i="6"/>
  <c r="B3" i="6"/>
  <c r="K2" i="6"/>
  <c r="L2" i="6" s="1"/>
  <c r="J2" i="6"/>
  <c r="I2" i="6"/>
  <c r="H2" i="6"/>
  <c r="G2" i="6"/>
  <c r="F2" i="6"/>
  <c r="E2" i="6"/>
  <c r="D2" i="6"/>
  <c r="C2" i="6"/>
  <c r="B2" i="6"/>
  <c r="K6" i="5"/>
  <c r="L6" i="5" s="1"/>
  <c r="J6" i="5"/>
  <c r="I6" i="5"/>
  <c r="H6" i="5"/>
  <c r="G6" i="5"/>
  <c r="F6" i="5"/>
  <c r="E6" i="5"/>
  <c r="D6" i="5"/>
  <c r="C6" i="5"/>
  <c r="B6" i="5"/>
  <c r="K5" i="5"/>
  <c r="L5" i="5" s="1"/>
  <c r="J5" i="5"/>
  <c r="I5" i="5"/>
  <c r="H5" i="5"/>
  <c r="G5" i="5"/>
  <c r="F5" i="5"/>
  <c r="E5" i="5"/>
  <c r="D5" i="5"/>
  <c r="C5" i="5"/>
  <c r="B5" i="5"/>
  <c r="K4" i="5"/>
  <c r="L4" i="5" s="1"/>
  <c r="J4" i="5"/>
  <c r="I4" i="5"/>
  <c r="H4" i="5"/>
  <c r="G4" i="5"/>
  <c r="F4" i="5"/>
  <c r="E4" i="5"/>
  <c r="D4" i="5"/>
  <c r="C4" i="5"/>
  <c r="B4" i="5"/>
  <c r="K3" i="5"/>
  <c r="L3" i="5" s="1"/>
  <c r="J3" i="5"/>
  <c r="I3" i="5"/>
  <c r="H3" i="5"/>
  <c r="G3" i="5"/>
  <c r="F3" i="5"/>
  <c r="E3" i="5"/>
  <c r="D3" i="5"/>
  <c r="C3" i="5"/>
  <c r="B3" i="5"/>
  <c r="K2" i="5"/>
  <c r="L2" i="5" s="1"/>
  <c r="J2" i="5"/>
  <c r="I2" i="5"/>
  <c r="H2" i="5"/>
  <c r="G2" i="5"/>
  <c r="F2" i="5"/>
  <c r="E2" i="5"/>
  <c r="D2" i="5"/>
  <c r="C2" i="5"/>
  <c r="B2" i="5"/>
  <c r="K7" i="4"/>
  <c r="L7" i="4" s="1"/>
  <c r="J7" i="4"/>
  <c r="I7" i="4"/>
  <c r="H7" i="4"/>
  <c r="G7" i="4"/>
  <c r="F7" i="4"/>
  <c r="E7" i="4"/>
  <c r="D7" i="4"/>
  <c r="C7" i="4"/>
  <c r="B7" i="4"/>
  <c r="K6" i="4"/>
  <c r="L6" i="4" s="1"/>
  <c r="J6" i="4"/>
  <c r="I6" i="4"/>
  <c r="H6" i="4"/>
  <c r="G6" i="4"/>
  <c r="F6" i="4"/>
  <c r="E6" i="4"/>
  <c r="D6" i="4"/>
  <c r="C6" i="4"/>
  <c r="B6" i="4"/>
  <c r="K5" i="4"/>
  <c r="L5" i="4" s="1"/>
  <c r="J5" i="4"/>
  <c r="I5" i="4"/>
  <c r="H5" i="4"/>
  <c r="G5" i="4"/>
  <c r="F5" i="4"/>
  <c r="E5" i="4"/>
  <c r="D5" i="4"/>
  <c r="C5" i="4"/>
  <c r="B5" i="4"/>
  <c r="K4" i="4"/>
  <c r="L4" i="4" s="1"/>
  <c r="J4" i="4"/>
  <c r="I4" i="4"/>
  <c r="H4" i="4"/>
  <c r="G4" i="4"/>
  <c r="F4" i="4"/>
  <c r="E4" i="4"/>
  <c r="D4" i="4"/>
  <c r="C4" i="4"/>
  <c r="B4" i="4"/>
  <c r="K3" i="4"/>
  <c r="L3" i="4" s="1"/>
  <c r="J3" i="4"/>
  <c r="I3" i="4"/>
  <c r="H3" i="4"/>
  <c r="G3" i="4"/>
  <c r="F3" i="4"/>
  <c r="E3" i="4"/>
  <c r="D3" i="4"/>
  <c r="C3" i="4"/>
  <c r="B3" i="4"/>
  <c r="K2" i="4"/>
  <c r="L2" i="4" s="1"/>
  <c r="J2" i="4"/>
  <c r="I2" i="4"/>
  <c r="H2" i="4"/>
  <c r="G2" i="4"/>
  <c r="F2" i="4"/>
  <c r="E2" i="4"/>
  <c r="D2" i="4"/>
  <c r="C2" i="4"/>
  <c r="B2" i="4"/>
  <c r="K6" i="3"/>
  <c r="L6" i="3" s="1"/>
  <c r="J6" i="3"/>
  <c r="I6" i="3"/>
  <c r="H6" i="3"/>
  <c r="G6" i="3"/>
  <c r="F6" i="3"/>
  <c r="E6" i="3"/>
  <c r="D6" i="3"/>
  <c r="C6" i="3"/>
  <c r="B6" i="3"/>
  <c r="K5" i="3"/>
  <c r="L5" i="3" s="1"/>
  <c r="J5" i="3"/>
  <c r="I5" i="3"/>
  <c r="H5" i="3"/>
  <c r="G5" i="3"/>
  <c r="F5" i="3"/>
  <c r="E5" i="3"/>
  <c r="D5" i="3"/>
  <c r="C5" i="3"/>
  <c r="B5" i="3"/>
  <c r="K4" i="3"/>
  <c r="L4" i="3" s="1"/>
  <c r="J4" i="3"/>
  <c r="I4" i="3"/>
  <c r="H4" i="3"/>
  <c r="G4" i="3"/>
  <c r="F4" i="3"/>
  <c r="E4" i="3"/>
  <c r="D4" i="3"/>
  <c r="C4" i="3"/>
  <c r="B4" i="3"/>
  <c r="K3" i="3"/>
  <c r="L3" i="3" s="1"/>
  <c r="J3" i="3"/>
  <c r="I3" i="3"/>
  <c r="H3" i="3"/>
  <c r="G3" i="3"/>
  <c r="F3" i="3"/>
  <c r="E3" i="3"/>
  <c r="D3" i="3"/>
  <c r="C3" i="3"/>
  <c r="B3" i="3"/>
  <c r="K2" i="3"/>
  <c r="L2" i="3" s="1"/>
  <c r="J2" i="3"/>
  <c r="I2" i="3"/>
  <c r="H2" i="3"/>
  <c r="G2" i="3"/>
  <c r="F2" i="3"/>
  <c r="E2" i="3"/>
  <c r="D2" i="3"/>
  <c r="C2" i="3"/>
  <c r="B2" i="3"/>
  <c r="N6" i="1"/>
  <c r="K6" i="1"/>
  <c r="H6" i="1"/>
  <c r="E6" i="1"/>
  <c r="B6" i="1"/>
</calcChain>
</file>

<file path=xl/sharedStrings.xml><?xml version="1.0" encoding="utf-8"?>
<sst xmlns="http://schemas.openxmlformats.org/spreadsheetml/2006/main" count="6565" uniqueCount="85">
  <si>
    <t>BPO Business Analytics Report</t>
  </si>
  <si>
    <t>Period: Jan 2024 – Dec 2025  |  5 Regions · 6 Clients · 5 Campaign Types · 1,610 Records</t>
  </si>
  <si>
    <t>Total Revenue</t>
  </si>
  <si>
    <t>Total Profit</t>
  </si>
  <si>
    <t>Avg CSAT Score</t>
  </si>
  <si>
    <t>Avg Attrition Rate</t>
  </si>
  <si>
    <t>Total Calls Handled</t>
  </si>
  <si>
    <t>Revenue &amp; Profit by Region</t>
  </si>
  <si>
    <t>Monthly Call Volume Trend</t>
  </si>
  <si>
    <t>Record ID</t>
  </si>
  <si>
    <t>Month</t>
  </si>
  <si>
    <t>Year</t>
  </si>
  <si>
    <t>Region</t>
  </si>
  <si>
    <t>Client</t>
  </si>
  <si>
    <t>Campaign Type</t>
  </si>
  <si>
    <t>Agents</t>
  </si>
  <si>
    <t>Calls Handled</t>
  </si>
  <si>
    <t>AHT (sec)</t>
  </si>
  <si>
    <t>FCR Rate</t>
  </si>
  <si>
    <t>CSAT Score</t>
  </si>
  <si>
    <t>SLA Adherence</t>
  </si>
  <si>
    <t>Attrition Rate</t>
  </si>
  <si>
    <t>Revenue ($)</t>
  </si>
  <si>
    <t>Cost ($)</t>
  </si>
  <si>
    <t>Profit ($)</t>
  </si>
  <si>
    <t>2024-01</t>
  </si>
  <si>
    <t>Hyderabad</t>
  </si>
  <si>
    <t>ShopEase Retail</t>
  </si>
  <si>
    <t>Voice - Inbound</t>
  </si>
  <si>
    <t>Voice - Outbound</t>
  </si>
  <si>
    <t>FinSecure Bank</t>
  </si>
  <si>
    <t>StreamBox Media</t>
  </si>
  <si>
    <t>TelcoOne</t>
  </si>
  <si>
    <t>Chat Support</t>
  </si>
  <si>
    <t>HealthPlus Insurance</t>
  </si>
  <si>
    <t>GadgetHub Electronics</t>
  </si>
  <si>
    <t>Email Support</t>
  </si>
  <si>
    <t>Technical Support</t>
  </si>
  <si>
    <t>Manila</t>
  </si>
  <si>
    <t>Bogota</t>
  </si>
  <si>
    <t>Cape Town</t>
  </si>
  <si>
    <t>Krakow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</si>
  <si>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</si>
  <si>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</si>
  <si>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</si>
  <si>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</si>
  <si>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</si>
  <si>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</si>
  <si>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</si>
  <si>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</si>
  <si>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</si>
  <si>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</si>
  <si>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</si>
  <si>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</si>
  <si>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</si>
  <si>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</si>
  <si>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</si>
  <si>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</si>
  <si>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</si>
  <si>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</si>
  <si>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</si>
  <si>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</si>
  <si>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</si>
  <si>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</si>
  <si>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</si>
  <si>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Total Agents</t>
  </si>
  <si>
    <t>Avg AHT (sec)</t>
  </si>
  <si>
    <t>Avg FCR Rate</t>
  </si>
  <si>
    <t>Avg SLA Adherence</t>
  </si>
  <si>
    <t>Total Revenue ($)</t>
  </si>
  <si>
    <t>Total Cost ($)</t>
  </si>
  <si>
    <t>Total Profit ($)</t>
  </si>
  <si>
    <t>Profit Margin (%)</t>
  </si>
  <si>
    <t>Notes &amp; Assumptions</t>
  </si>
  <si>
    <t>This workbook is built on a synthetic dataset generated to reflect realistic BPO</t>
  </si>
  <si>
    <t>industry patterns (seasonal call volume, holiday-season attrition spikes, regional</t>
  </si>
  <si>
    <t>cost/CSAT profiles, campaign-type handle-time differences) for demonstration purposes.</t>
  </si>
  <si>
    <t>All summary sheets (Region, Client, Campaign, Monthly Trend) are formula-driven</t>
  </si>
  <si>
    <t>(SUMIFS / AVERAGEIFS) against the 'Raw Data' sheet, so the whole workbook recalculates</t>
  </si>
  <si>
    <t>automatically if rows are added, removed, or edited in Raw Data.</t>
  </si>
  <si>
    <t>Dashboard KPI cards and all charts pull live from the summary sheets — nothing is</t>
  </si>
  <si>
    <t>hardcoded. To use with real operational data, replace the contents of 'Raw Data'</t>
  </si>
  <si>
    <t>(keep the same column headers) and the rest of the workbook will update.</t>
  </si>
  <si>
    <t xml:space="preserve">                                             Profit Contribution by Client</t>
  </si>
  <si>
    <t xml:space="preserve">                                                        Avg Handle Time by Campaign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</si>
</sst>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,,\M"/>
    <numFmt numFmtId="165" formatCode="0.0"/>
    <numFmt numFmtId="166" formatCode="0.0%"/>
    <numFmt numFmtId="167" formatCode="#,##0,,\K"/>
    <numFmt numFmtId="168" formatCode="\$#,##0"/>
    <numFmt numFmtId="169" formatCode="#,##0.0"/>
  </numFmts>
  <fonts count="12" x14ac:knownFonts="1">
    <font>
      <sz val="11"/>
      <color theme="1"/>
      <name val="Calibri"/>
      <family val="2"/>
      <charset val="1"/>
    </font>
    <font>
      <b/>
      <sz val="16"/>
      <color rgb="FF1E3A5F"/>
      <name val="Arial"/>
      <charset val="1"/>
    </font>
    <font>
      <i/>
      <sz val="10"/>
      <color rgb="FF666666"/>
      <name val="Arial"/>
      <charset val="1"/>
    </font>
    <font>
      <b/>
      <sz val="10"/>
      <color rgb="FFFFFFFF"/>
      <name val="Arial"/>
      <charset val="1"/>
    </font>
    <font>
      <b/>
      <sz val="18"/>
      <color rgb="FF1E3A5F"/>
      <name val="Arial"/>
      <charset val="1"/>
    </font>
    <font>
      <b/>
      <sz val="18"/>
      <color rgb="FF16A34A"/>
      <name val="Arial"/>
      <charset val="1"/>
    </font>
    <font>
      <b/>
      <sz val="18"/>
      <color rgb="FF2563EB"/>
      <name val="Arial"/>
      <charset val="1"/>
    </font>
    <font>
      <b/>
      <sz val="18"/>
      <color rgb="FFDC2626"/>
      <name val="Arial"/>
      <charset val="1"/>
    </font>
    <font>
      <b/>
      <sz val="18"/>
      <color rgb="FF7C3AED"/>
      <name val="Arial"/>
      <charset val="1"/>
    </font>
    <font>
      <b/>
      <sz val="12"/>
      <color rgb="FF1E3A5F"/>
      <name val="Arial"/>
      <charset val="1"/>
    </font>
    <font>
      <b/>
      <sz val="10.5"/>
      <color rgb="FFFFFFFF"/>
      <name val="Arial"/>
      <charset val="1"/>
    </font>
    <font>
      <sz val="1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16A34A"/>
        <bgColor rgb="FF008080"/>
      </patternFill>
    </fill>
    <fill>
      <patternFill patternType="solid">
        <fgColor rgb="FF2563EB"/>
        <bgColor rgb="FF4A7EBB"/>
      </patternFill>
    </fill>
    <fill>
      <patternFill patternType="solid">
        <fgColor rgb="FFDC2626"/>
        <bgColor rgb="FFC0504D"/>
      </patternFill>
    </fill>
    <fill>
      <patternFill patternType="solid">
        <fgColor rgb="FF7C3AED"/>
        <bgColor rgb="FF8064A2"/>
      </patternFill>
    </fill>
    <fill>
      <patternFill patternType="solid">
        <fgColor rgb="FFF7F9FC"/>
        <bgColor rgb="FFF9F9F9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9" fillId="0" borderId="0" xfId="0" applyFont="1"/>
    <xf numFmtId="0" fontId="11" fillId="0" borderId="0" xfId="0" applyFont="1"/>
    <xf numFmtId="164" fontId="4" fillId="7" borderId="1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6" fillId="7" borderId="1" xfId="0" applyNumberFormat="1" applyFont="1" applyFill="1" applyBorder="1" applyAlignment="1">
      <alignment horizontal="center" vertical="center"/>
    </xf>
    <xf numFmtId="166" fontId="7" fillId="7" borderId="1" xfId="0" applyNumberFormat="1" applyFont="1" applyFill="1" applyBorder="1" applyAlignment="1">
      <alignment horizontal="center" vertical="center"/>
    </xf>
    <xf numFmtId="167" fontId="8" fillId="7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168" fontId="11" fillId="0" borderId="7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168" fontId="11" fillId="0" borderId="10" xfId="0" applyNumberFormat="1" applyFont="1" applyBorder="1" applyAlignment="1">
      <alignment horizontal="center" vertical="center"/>
    </xf>
  </cellXfs>
  <cellStyles count="1">
    <cellStyle name="Normal" xfId="0" builtinId="0"/>
  </cellStyles>
  <dxfs count="2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CCCCC"/>
      <rgbColor rgb="FF878787"/>
      <rgbColor rgb="FF9999FF"/>
      <rgbColor rgb="FFC0504D"/>
      <rgbColor rgb="FFF9F9F9"/>
      <rgbColor rgb="FFF7F9FC"/>
      <rgbColor rgb="FF660066"/>
      <rgbColor rgb="FFFF8080"/>
      <rgbColor rgb="FF4A7EB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4BACC6"/>
      <rgbColor rgb="FF9BBB59"/>
      <rgbColor rgb="FFFFCC00"/>
      <rgbColor rgb="FFF79646"/>
      <rgbColor rgb="FFFF6600"/>
      <rgbColor rgb="FF8064A2"/>
      <rgbColor rgb="FF4F81BD"/>
      <rgbColor rgb="FF1E3A5F"/>
      <rgbColor rgb="FF16A34A"/>
      <rgbColor rgb="FF003300"/>
      <rgbColor rgb="FF333300"/>
      <rgbColor rgb="FF993300"/>
      <rgbColor rgb="FF7C3AE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&amp; Profit by Region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Summary'!$I$1</c:f>
              <c:strCache>
                <c:ptCount val="1"/>
                <c:pt idx="0">
                  <c:v>Total Revenue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Bogota</c:v>
                </c:pt>
                <c:pt idx="1">
                  <c:v>Cape Town</c:v>
                </c:pt>
                <c:pt idx="2">
                  <c:v>Hyderabad</c:v>
                </c:pt>
                <c:pt idx="3">
                  <c:v>Krakow</c:v>
                </c:pt>
                <c:pt idx="4">
                  <c:v>Manila</c:v>
                </c:pt>
              </c:strCache>
            </c:strRef>
          </c:cat>
          <c:val>
            <c:numRef>
              <c:f>'Region Summary'!$I$2:$I$6</c:f>
              <c:numCache>
                <c:formatCode>\$#,##0</c:formatCode>
                <c:ptCount val="5"/>
                <c:pt idx="0">
                  <c:v>22598277.989999998</c:v>
                </c:pt>
                <c:pt idx="1">
                  <c:v>20155383.249999993</c:v>
                </c:pt>
                <c:pt idx="2">
                  <c:v>18361804.09</c:v>
                </c:pt>
                <c:pt idx="3">
                  <c:v>25049594.670000006</c:v>
                </c:pt>
                <c:pt idx="4">
                  <c:v>21032055.720000003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AC-4DA7-8883-BE0B8F39F0B8}"/>
            </c:ext>
          </c:extLst>
        </c:ser>
        <c:ser>
          <c:idx val="1"/>
          <c:order val="1"/>
          <c:tx>
            <c:strRef>
              <c:f>'Region Summary'!$J$1</c:f>
              <c:strCache>
                <c:ptCount val="1"/>
                <c:pt idx="0">
                  <c:v>Total Cost ($)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Bogota</c:v>
                </c:pt>
                <c:pt idx="1">
                  <c:v>Cape Town</c:v>
                </c:pt>
                <c:pt idx="2">
                  <c:v>Hyderabad</c:v>
                </c:pt>
                <c:pt idx="3">
                  <c:v>Krakow</c:v>
                </c:pt>
                <c:pt idx="4">
                  <c:v>Manila</c:v>
                </c:pt>
              </c:strCache>
            </c:strRef>
          </c:cat>
          <c:val>
            <c:numRef>
              <c:f>'Region Summary'!$J$2:$J$6</c:f>
              <c:numCache>
                <c:formatCode>\$#,##0</c:formatCode>
                <c:ptCount val="5"/>
                <c:pt idx="0">
                  <c:v>15840071.479999997</c:v>
                </c:pt>
                <c:pt idx="1">
                  <c:v>14121507.060000006</c:v>
                </c:pt>
                <c:pt idx="2">
                  <c:v>12830477.530000001</c:v>
                </c:pt>
                <c:pt idx="3">
                  <c:v>17552982.489999987</c:v>
                </c:pt>
                <c:pt idx="4">
                  <c:v>14588011.489999993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AC-4DA7-8883-BE0B8F39F0B8}"/>
            </c:ext>
          </c:extLst>
        </c:ser>
        <c:ser>
          <c:idx val="2"/>
          <c:order val="2"/>
          <c:tx>
            <c:strRef>
              <c:f>'Region Summary'!$K$1</c:f>
              <c:strCache>
                <c:ptCount val="1"/>
                <c:pt idx="0">
                  <c:v>Total Profit ($)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Bogota</c:v>
                </c:pt>
                <c:pt idx="1">
                  <c:v>Cape Town</c:v>
                </c:pt>
                <c:pt idx="2">
                  <c:v>Hyderabad</c:v>
                </c:pt>
                <c:pt idx="3">
                  <c:v>Krakow</c:v>
                </c:pt>
                <c:pt idx="4">
                  <c:v>Manila</c:v>
                </c:pt>
              </c:strCache>
            </c:strRef>
          </c:cat>
          <c:val>
            <c:numRef>
              <c:f>'Region Summary'!$K$2:$K$6</c:f>
              <c:numCache>
                <c:formatCode>\$#,##0</c:formatCode>
                <c:ptCount val="5"/>
                <c:pt idx="0">
                  <c:v>6758206.5100000016</c:v>
                </c:pt>
                <c:pt idx="1">
                  <c:v>6033876.1899999976</c:v>
                </c:pt>
                <c:pt idx="2">
                  <c:v>5531326.5599999987</c:v>
                </c:pt>
                <c:pt idx="3">
                  <c:v>7496612.1800000025</c:v>
                </c:pt>
                <c:pt idx="4">
                  <c:v>6444044.2299999995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AC-4DA7-8883-BE0B8F39F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81245"/>
        <c:axId val="31623227"/>
      </c:barChart>
      <c:catAx>
        <c:axId val="166812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623227"/>
        <c:crosses val="autoZero"/>
        <c:auto val="1"/>
        <c:lblAlgn val="ctr"/>
        <c:lblOffset val="100"/>
        <c:noMultiLvlLbl val="0"/>
      </c:catAx>
      <c:valAx>
        <c:axId val="31623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6812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Profit Contribution by Client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'Client Summary'!$K$1</c:f>
              <c:strCache>
                <c:ptCount val="1"/>
                <c:pt idx="0">
                  <c:v>Total Profit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1F-48E0-9E0D-237627CD675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1F-48E0-9E0D-237627CD675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1F-48E0-9E0D-237627CD675A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1F-48E0-9E0D-237627CD675A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1F-48E0-9E0D-237627CD675A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1F-48E0-9E0D-237627CD675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1F-48E0-9E0D-237627CD675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1F-48E0-9E0D-237627CD675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1F-48E0-9E0D-237627CD675A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1F-48E0-9E0D-237627CD675A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1F-48E0-9E0D-237627CD675A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1F-48E0-9E0D-237627CD67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'Client Summary'!$A$2:$A$7</c:f>
              <c:strCache>
                <c:ptCount val="6"/>
                <c:pt idx="0">
                  <c:v>FinSecure Bank</c:v>
                </c:pt>
                <c:pt idx="1">
                  <c:v>GadgetHub Electronics</c:v>
                </c:pt>
                <c:pt idx="2">
                  <c:v>HealthPlus Insurance</c:v>
                </c:pt>
                <c:pt idx="3">
                  <c:v>ShopEase Retail</c:v>
                </c:pt>
                <c:pt idx="4">
                  <c:v>StreamBox Media</c:v>
                </c:pt>
                <c:pt idx="5">
                  <c:v>TelcoOne</c:v>
                </c:pt>
              </c:strCache>
            </c:strRef>
          </c:cat>
          <c:val>
            <c:numRef>
              <c:f>'Client Summary'!$K$2:$K$7</c:f>
              <c:numCache>
                <c:formatCode>\$#,##0</c:formatCode>
                <c:ptCount val="6"/>
                <c:pt idx="0">
                  <c:v>5449464.3300000029</c:v>
                </c:pt>
                <c:pt idx="1">
                  <c:v>5099611.8299999963</c:v>
                </c:pt>
                <c:pt idx="2">
                  <c:v>5231160.5099999988</c:v>
                </c:pt>
                <c:pt idx="3">
                  <c:v>5629876.7599999951</c:v>
                </c:pt>
                <c:pt idx="4">
                  <c:v>5097842.9899999993</c:v>
                </c:pt>
                <c:pt idx="5">
                  <c:v>5756109.25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1F-48E0-9E0D-237627CD6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Call Volume Trend</a:t>
            </a:r>
          </a:p>
        </c:rich>
      </c:tx>
      <c:layout>
        <c:manualLayout>
          <c:xMode val="edge"/>
          <c:yMode val="edge"/>
          <c:x val="0.2544830910861095"/>
          <c:y val="2.5397858113965721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246049902149325"/>
          <c:y val="0.15271545433001818"/>
          <c:w val="0.54946903101526601"/>
          <c:h val="0.54121369097872751"/>
        </c:manualLayout>
      </c:layout>
      <c:lineChart>
        <c:grouping val="standard"/>
        <c:varyColors val="0"/>
        <c:ser>
          <c:idx val="0"/>
          <c:order val="0"/>
          <c:tx>
            <c:strRef>
              <c:f>'Monthly Trend'!$C$1</c:f>
              <c:strCache>
                <c:ptCount val="1"/>
                <c:pt idx="0">
                  <c:v>Total Calls Handled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Trend'!$A$2:$A$25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'Monthly Trend'!$C$2:$C$25</c:f>
              <c:numCache>
                <c:formatCode>#,##0</c:formatCode>
                <c:ptCount val="24"/>
                <c:pt idx="0">
                  <c:v>424601</c:v>
                </c:pt>
                <c:pt idx="1">
                  <c:v>493670</c:v>
                </c:pt>
                <c:pt idx="2">
                  <c:v>486950</c:v>
                </c:pt>
                <c:pt idx="3">
                  <c:v>571049</c:v>
                </c:pt>
                <c:pt idx="4">
                  <c:v>532847</c:v>
                </c:pt>
                <c:pt idx="5">
                  <c:v>426457</c:v>
                </c:pt>
                <c:pt idx="6">
                  <c:v>458245</c:v>
                </c:pt>
                <c:pt idx="7">
                  <c:v>432894</c:v>
                </c:pt>
                <c:pt idx="8">
                  <c:v>386704</c:v>
                </c:pt>
                <c:pt idx="9">
                  <c:v>345962</c:v>
                </c:pt>
                <c:pt idx="10">
                  <c:v>426086</c:v>
                </c:pt>
                <c:pt idx="11">
                  <c:v>452805</c:v>
                </c:pt>
                <c:pt idx="12">
                  <c:v>692653</c:v>
                </c:pt>
                <c:pt idx="13">
                  <c:v>661988</c:v>
                </c:pt>
                <c:pt idx="14">
                  <c:v>529915</c:v>
                </c:pt>
                <c:pt idx="15">
                  <c:v>508814</c:v>
                </c:pt>
                <c:pt idx="16">
                  <c:v>532468</c:v>
                </c:pt>
                <c:pt idx="17">
                  <c:v>616021</c:v>
                </c:pt>
                <c:pt idx="18">
                  <c:v>565396</c:v>
                </c:pt>
                <c:pt idx="19">
                  <c:v>453278</c:v>
                </c:pt>
                <c:pt idx="20">
                  <c:v>511281</c:v>
                </c:pt>
                <c:pt idx="21">
                  <c:v>478057</c:v>
                </c:pt>
                <c:pt idx="22">
                  <c:v>493151</c:v>
                </c:pt>
                <c:pt idx="23">
                  <c:v>504681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F5-429A-BBA4-D71CDD776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984407"/>
        <c:axId val="88526971"/>
      </c:lineChart>
      <c:catAx>
        <c:axId val="719844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526971"/>
        <c:crosses val="autoZero"/>
        <c:auto val="1"/>
        <c:lblAlgn val="ctr"/>
        <c:lblOffset val="100"/>
        <c:noMultiLvlLbl val="0"/>
      </c:catAx>
      <c:valAx>
        <c:axId val="88526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Calls Handled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9844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Handle Time by Campaign Type (sec)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'Campaign Summary'!$D$1</c:f>
              <c:strCache>
                <c:ptCount val="1"/>
                <c:pt idx="0">
                  <c:v>Avg AHT (sec)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'Campaign Summary'!$A$2:$A$6</c:f>
              <c:strCache>
                <c:ptCount val="5"/>
                <c:pt idx="0">
                  <c:v>Chat Support</c:v>
                </c:pt>
                <c:pt idx="1">
                  <c:v>Email Support</c:v>
                </c:pt>
                <c:pt idx="2">
                  <c:v>Technical Support</c:v>
                </c:pt>
                <c:pt idx="3">
                  <c:v>Voice - Inbound</c:v>
                </c:pt>
                <c:pt idx="4">
                  <c:v>Voice - Outbound</c:v>
                </c:pt>
              </c:strCache>
            </c:strRef>
          </c:cat>
          <c:val>
            <c:numRef>
              <c:f>'Campaign Summary'!$D$2:$D$6</c:f>
              <c:numCache>
                <c:formatCode>#,##0.0</c:formatCode>
                <c:ptCount val="5"/>
                <c:pt idx="0">
                  <c:v>483.15343283582115</c:v>
                </c:pt>
                <c:pt idx="1">
                  <c:v>897.26006289308179</c:v>
                </c:pt>
                <c:pt idx="2">
                  <c:v>659.77476635514063</c:v>
                </c:pt>
                <c:pt idx="3">
                  <c:v>419.62776025236593</c:v>
                </c:pt>
                <c:pt idx="4">
                  <c:v>300.25705329153607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21-4465-B8C8-F2F4DFEFF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255066"/>
        <c:axId val="69622597"/>
      </c:barChart>
      <c:catAx>
        <c:axId val="362550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622597"/>
        <c:crosses val="autoZero"/>
        <c:auto val="1"/>
        <c:lblAlgn val="ctr"/>
        <c:lblOffset val="100"/>
        <c:noMultiLvlLbl val="0"/>
      </c:catAx>
      <c:valAx>
        <c:axId val="696225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Seconds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62550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10</xdr:row>
      <xdr:rowOff>70080</xdr:rowOff>
    </xdr:from>
    <xdr:to>
      <xdr:col>8</xdr:col>
      <xdr:colOff>240840</xdr:colOff>
      <xdr:row>26</xdr:row>
      <xdr:rowOff>96840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510540</xdr:colOff>
      <xdr:row>10</xdr:row>
      <xdr:rowOff>62460</xdr:rowOff>
    </xdr:from>
    <xdr:to>
      <xdr:col>16</xdr:col>
      <xdr:colOff>88440</xdr:colOff>
      <xdr:row>26</xdr:row>
      <xdr:rowOff>89220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8466</xdr:colOff>
      <xdr:row>27</xdr:row>
      <xdr:rowOff>156440</xdr:rowOff>
    </xdr:from>
    <xdr:to>
      <xdr:col>8</xdr:col>
      <xdr:colOff>340746</xdr:colOff>
      <xdr:row>43</xdr:row>
      <xdr:rowOff>176426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558800</xdr:colOff>
      <xdr:row>27</xdr:row>
      <xdr:rowOff>139507</xdr:rowOff>
    </xdr:from>
    <xdr:to>
      <xdr:col>16</xdr:col>
      <xdr:colOff>137546</xdr:colOff>
      <xdr:row>43</xdr:row>
      <xdr:rowOff>159493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Data" displayName="RawData" ref="A1:P1611" totalsRowShown="0" headerRowDxfId="1" dataDxfId="0" headerRowBorderDxfId="19" tableBorderDxfId="20" totalsRowBorderDxfId="18">
  <autoFilter ref="A1:P1611" xr:uid="{00000000-0009-0000-0100-000001000000}"/>
  <tableColumns count="16">
    <tableColumn id="1" xr3:uid="{00000000-0010-0000-0000-000001000000}" name="Record ID" dataDxfId="17"/>
    <tableColumn id="2" xr3:uid="{00000000-0010-0000-0000-000002000000}" name="Month" dataDxfId="16"/>
    <tableColumn id="3" xr3:uid="{00000000-0010-0000-0000-000003000000}" name="Year" dataDxfId="15"/>
    <tableColumn id="4" xr3:uid="{00000000-0010-0000-0000-000004000000}" name="Region" dataDxfId="14"/>
    <tableColumn id="5" xr3:uid="{00000000-0010-0000-0000-000005000000}" name="Client" dataDxfId="13"/>
    <tableColumn id="6" xr3:uid="{00000000-0010-0000-0000-000006000000}" name="Campaign Type" dataDxfId="12"/>
    <tableColumn id="7" xr3:uid="{00000000-0010-0000-0000-000007000000}" name="Agents" dataDxfId="11"/>
    <tableColumn id="8" xr3:uid="{00000000-0010-0000-0000-000008000000}" name="Calls Handled" dataDxfId="10"/>
    <tableColumn id="9" xr3:uid="{00000000-0010-0000-0000-000009000000}" name="AHT (sec)" dataDxfId="9"/>
    <tableColumn id="10" xr3:uid="{00000000-0010-0000-0000-00000A000000}" name="FCR Rate" dataDxfId="8"/>
    <tableColumn id="11" xr3:uid="{00000000-0010-0000-0000-00000B000000}" name="CSAT Score" dataDxfId="7"/>
    <tableColumn id="12" xr3:uid="{00000000-0010-0000-0000-00000C000000}" name="SLA Adherence" dataDxfId="6"/>
    <tableColumn id="13" xr3:uid="{00000000-0010-0000-0000-00000D000000}" name="Attrition Rate" dataDxfId="5"/>
    <tableColumn id="14" xr3:uid="{00000000-0010-0000-0000-00000E000000}" name="Revenue ($)" dataDxfId="4"/>
    <tableColumn id="15" xr3:uid="{00000000-0010-0000-0000-00000F000000}" name="Cost ($)" dataDxfId="3"/>
    <tableColumn id="16" xr3:uid="{00000000-0010-0000-0000-000010000000}" name="Profit ($)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27"/>
  <sheetViews>
    <sheetView showGridLines="0" tabSelected="1" zoomScale="90" zoomScaleNormal="90" workbookViewId="0">
      <selection activeCell="S33" sqref="S33"/>
    </sheetView>
  </sheetViews>
  <sheetFormatPr defaultColWidth="8.6640625" defaultRowHeight="14.4" x14ac:dyDescent="0.3"/>
  <cols>
    <col min="1" max="1" width="2" customWidth="1"/>
    <col min="2" max="19" width="11" customWidth="1"/>
  </cols>
  <sheetData>
    <row r="2" spans="2:15" ht="21" x14ac:dyDescent="0.4">
      <c r="B2" s="1" t="s">
        <v>0</v>
      </c>
    </row>
    <row r="3" spans="2:15" x14ac:dyDescent="0.3">
      <c r="B3" s="2" t="s">
        <v>1</v>
      </c>
    </row>
    <row r="5" spans="2:15" ht="19.5" customHeight="1" x14ac:dyDescent="0.3">
      <c r="B5" s="10" t="s">
        <v>2</v>
      </c>
      <c r="C5" s="10"/>
      <c r="E5" s="11" t="s">
        <v>3</v>
      </c>
      <c r="F5" s="11"/>
      <c r="H5" s="12" t="s">
        <v>4</v>
      </c>
      <c r="I5" s="12"/>
      <c r="K5" s="13" t="s">
        <v>5</v>
      </c>
      <c r="L5" s="13"/>
      <c r="N5" s="14" t="s">
        <v>6</v>
      </c>
      <c r="O5" s="14"/>
    </row>
    <row r="6" spans="2:15" ht="21.75" customHeight="1" x14ac:dyDescent="0.3">
      <c r="B6" s="5">
        <f>SUM('Raw Data'!N:N)</f>
        <v>107197115.72000007</v>
      </c>
      <c r="C6" s="5"/>
      <c r="E6" s="6">
        <f>SUM('Raw Data'!P:P)</f>
        <v>32264065.670000043</v>
      </c>
      <c r="F6" s="6"/>
      <c r="H6" s="7">
        <f>AVERAGE('Raw Data'!K:K)</f>
        <v>82.663105590062116</v>
      </c>
      <c r="I6" s="7"/>
      <c r="K6" s="8">
        <f>AVERAGE('Raw Data'!M:M)</f>
        <v>2.9677018633540383E-2</v>
      </c>
      <c r="L6" s="8"/>
      <c r="N6" s="9">
        <f>SUM('Raw Data'!H:H)</f>
        <v>11985973</v>
      </c>
      <c r="O6" s="9"/>
    </row>
    <row r="7" spans="2:15" ht="21.75" customHeight="1" x14ac:dyDescent="0.3">
      <c r="B7" s="5"/>
      <c r="C7" s="5"/>
      <c r="E7" s="6"/>
      <c r="F7" s="6"/>
      <c r="H7" s="7"/>
      <c r="I7" s="7"/>
      <c r="K7" s="8"/>
      <c r="L7" s="8"/>
      <c r="N7" s="9"/>
      <c r="O7" s="9"/>
    </row>
    <row r="10" spans="2:15" ht="15.6" x14ac:dyDescent="0.3">
      <c r="B10" s="3" t="s">
        <v>7</v>
      </c>
      <c r="H10" s="3" t="s">
        <v>83</v>
      </c>
    </row>
    <row r="27" spans="2:8" ht="26.4" customHeight="1" x14ac:dyDescent="0.3">
      <c r="B27" s="3" t="s">
        <v>8</v>
      </c>
      <c r="H27" s="3" t="s">
        <v>84</v>
      </c>
    </row>
  </sheetData>
  <mergeCells count="10">
    <mergeCell ref="B5:C5"/>
    <mergeCell ref="E5:F5"/>
    <mergeCell ref="H5:I5"/>
    <mergeCell ref="K5:L5"/>
    <mergeCell ref="N5:O5"/>
    <mergeCell ref="B6:C7"/>
    <mergeCell ref="E6:F7"/>
    <mergeCell ref="H6:I7"/>
    <mergeCell ref="K6:L7"/>
    <mergeCell ref="N6:O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611"/>
  <sheetViews>
    <sheetView zoomScaleNormal="100" workbookViewId="0">
      <pane ySplit="1" topLeftCell="A2" activePane="bottomLeft" state="frozen"/>
      <selection pane="bottomLeft" activeCell="R17" sqref="R17"/>
    </sheetView>
  </sheetViews>
  <sheetFormatPr defaultColWidth="8.6640625" defaultRowHeight="14.4" x14ac:dyDescent="0.3"/>
  <cols>
    <col min="1" max="1" width="10" customWidth="1"/>
    <col min="2" max="2" width="9.6640625" customWidth="1"/>
    <col min="3" max="3" width="7" customWidth="1"/>
    <col min="4" max="4" width="11" customWidth="1"/>
    <col min="5" max="5" width="20" customWidth="1"/>
    <col min="6" max="6" width="17" customWidth="1"/>
    <col min="7" max="7" width="8" customWidth="1"/>
    <col min="8" max="8" width="13" customWidth="1"/>
    <col min="9" max="9" width="10" customWidth="1"/>
    <col min="10" max="10" width="9" customWidth="1"/>
    <col min="11" max="11" width="10" customWidth="1"/>
    <col min="12" max="16" width="12" customWidth="1"/>
  </cols>
  <sheetData>
    <row r="1" spans="1:16" x14ac:dyDescent="0.3">
      <c r="A1" s="22" t="s">
        <v>9</v>
      </c>
      <c r="B1" s="23" t="s">
        <v>10</v>
      </c>
      <c r="C1" s="23" t="s">
        <v>11</v>
      </c>
      <c r="D1" s="23" t="s">
        <v>12</v>
      </c>
      <c r="E1" s="23" t="s">
        <v>13</v>
      </c>
      <c r="F1" s="23" t="s">
        <v>14</v>
      </c>
      <c r="G1" s="23" t="s">
        <v>15</v>
      </c>
      <c r="H1" s="23" t="s">
        <v>16</v>
      </c>
      <c r="I1" s="23" t="s">
        <v>17</v>
      </c>
      <c r="J1" s="23" t="s">
        <v>18</v>
      </c>
      <c r="K1" s="23" t="s">
        <v>19</v>
      </c>
      <c r="L1" s="23" t="s">
        <v>20</v>
      </c>
      <c r="M1" s="23" t="s">
        <v>21</v>
      </c>
      <c r="N1" s="23" t="s">
        <v>22</v>
      </c>
      <c r="O1" s="23" t="s">
        <v>23</v>
      </c>
      <c r="P1" s="24" t="s">
        <v>24</v>
      </c>
    </row>
    <row r="2" spans="1:16" x14ac:dyDescent="0.3">
      <c r="A2" s="25">
        <v>1</v>
      </c>
      <c r="B2" s="16" t="s">
        <v>25</v>
      </c>
      <c r="C2" s="16">
        <v>2024</v>
      </c>
      <c r="D2" s="16" t="s">
        <v>26</v>
      </c>
      <c r="E2" s="16" t="s">
        <v>27</v>
      </c>
      <c r="F2" s="16" t="s">
        <v>28</v>
      </c>
      <c r="G2" s="16">
        <v>54</v>
      </c>
      <c r="H2" s="16">
        <v>11056</v>
      </c>
      <c r="I2" s="16">
        <v>410.6</v>
      </c>
      <c r="J2" s="19">
        <v>0.76600000000000001</v>
      </c>
      <c r="K2" s="16">
        <v>89.9</v>
      </c>
      <c r="L2" s="19">
        <v>0.872</v>
      </c>
      <c r="M2" s="19">
        <v>4.5999999999999999E-2</v>
      </c>
      <c r="N2" s="21">
        <v>74802.320000000007</v>
      </c>
      <c r="O2" s="21">
        <v>48553.59</v>
      </c>
      <c r="P2" s="26">
        <v>26248.73</v>
      </c>
    </row>
    <row r="3" spans="1:16" x14ac:dyDescent="0.3">
      <c r="A3" s="25">
        <v>2</v>
      </c>
      <c r="B3" s="16" t="s">
        <v>25</v>
      </c>
      <c r="C3" s="16">
        <v>2024</v>
      </c>
      <c r="D3" s="16" t="s">
        <v>26</v>
      </c>
      <c r="E3" s="16" t="s">
        <v>27</v>
      </c>
      <c r="F3" s="16" t="s">
        <v>29</v>
      </c>
      <c r="G3" s="16">
        <v>38</v>
      </c>
      <c r="H3" s="16">
        <v>5929</v>
      </c>
      <c r="I3" s="16">
        <v>271.89999999999998</v>
      </c>
      <c r="J3" s="19">
        <v>0.52200000000000002</v>
      </c>
      <c r="K3" s="16">
        <v>75.900000000000006</v>
      </c>
      <c r="L3" s="19">
        <v>1</v>
      </c>
      <c r="M3" s="19">
        <v>4.3999999999999997E-2</v>
      </c>
      <c r="N3" s="21">
        <v>39809.14</v>
      </c>
      <c r="O3" s="21">
        <v>24977.53</v>
      </c>
      <c r="P3" s="26">
        <v>14831.61</v>
      </c>
    </row>
    <row r="4" spans="1:16" x14ac:dyDescent="0.3">
      <c r="A4" s="25">
        <v>3</v>
      </c>
      <c r="B4" s="16" t="s">
        <v>25</v>
      </c>
      <c r="C4" s="16">
        <v>2024</v>
      </c>
      <c r="D4" s="16" t="s">
        <v>26</v>
      </c>
      <c r="E4" s="16" t="s">
        <v>30</v>
      </c>
      <c r="F4" s="16" t="s">
        <v>29</v>
      </c>
      <c r="G4" s="16">
        <v>35</v>
      </c>
      <c r="H4" s="16">
        <v>6732</v>
      </c>
      <c r="I4" s="16">
        <v>311.60000000000002</v>
      </c>
      <c r="J4" s="19">
        <v>0.61199999999999999</v>
      </c>
      <c r="K4" s="16">
        <v>73.900000000000006</v>
      </c>
      <c r="L4" s="19">
        <v>0.86799999999999999</v>
      </c>
      <c r="M4" s="19">
        <v>3.5999999999999997E-2</v>
      </c>
      <c r="N4" s="21">
        <v>38588.43</v>
      </c>
      <c r="O4" s="21">
        <v>29539.11</v>
      </c>
      <c r="P4" s="26">
        <v>9049.32</v>
      </c>
    </row>
    <row r="5" spans="1:16" x14ac:dyDescent="0.3">
      <c r="A5" s="25">
        <v>4</v>
      </c>
      <c r="B5" s="16" t="s">
        <v>25</v>
      </c>
      <c r="C5" s="16">
        <v>2024</v>
      </c>
      <c r="D5" s="16" t="s">
        <v>26</v>
      </c>
      <c r="E5" s="16" t="s">
        <v>31</v>
      </c>
      <c r="F5" s="16" t="s">
        <v>29</v>
      </c>
      <c r="G5" s="16">
        <v>48</v>
      </c>
      <c r="H5" s="16">
        <v>6233</v>
      </c>
      <c r="I5" s="16">
        <v>246.9</v>
      </c>
      <c r="J5" s="19">
        <v>0.66200000000000003</v>
      </c>
      <c r="K5" s="16">
        <v>82.7</v>
      </c>
      <c r="L5" s="19">
        <v>0.89300000000000002</v>
      </c>
      <c r="M5" s="19">
        <v>0.04</v>
      </c>
      <c r="N5" s="21">
        <v>53568.35</v>
      </c>
      <c r="O5" s="21">
        <v>36543.71</v>
      </c>
      <c r="P5" s="26">
        <v>17024.64</v>
      </c>
    </row>
    <row r="6" spans="1:16" x14ac:dyDescent="0.3">
      <c r="A6" s="25">
        <v>5</v>
      </c>
      <c r="B6" s="16" t="s">
        <v>25</v>
      </c>
      <c r="C6" s="16">
        <v>2024</v>
      </c>
      <c r="D6" s="16" t="s">
        <v>26</v>
      </c>
      <c r="E6" s="16" t="s">
        <v>32</v>
      </c>
      <c r="F6" s="16" t="s">
        <v>33</v>
      </c>
      <c r="G6" s="16">
        <v>24</v>
      </c>
      <c r="H6" s="16">
        <v>3673</v>
      </c>
      <c r="I6" s="16">
        <v>434.8</v>
      </c>
      <c r="J6" s="19">
        <v>0.748</v>
      </c>
      <c r="K6" s="16">
        <v>86.9</v>
      </c>
      <c r="L6" s="19">
        <v>0.95399999999999996</v>
      </c>
      <c r="M6" s="19">
        <v>4.7E-2</v>
      </c>
      <c r="N6" s="21">
        <v>33569.33</v>
      </c>
      <c r="O6" s="21">
        <v>21210.69</v>
      </c>
      <c r="P6" s="26">
        <v>12358.64</v>
      </c>
    </row>
    <row r="7" spans="1:16" x14ac:dyDescent="0.3">
      <c r="A7" s="25">
        <v>6</v>
      </c>
      <c r="B7" s="16" t="s">
        <v>25</v>
      </c>
      <c r="C7" s="16">
        <v>2024</v>
      </c>
      <c r="D7" s="16" t="s">
        <v>26</v>
      </c>
      <c r="E7" s="16" t="s">
        <v>34</v>
      </c>
      <c r="F7" s="16" t="s">
        <v>33</v>
      </c>
      <c r="G7" s="16">
        <v>22</v>
      </c>
      <c r="H7" s="16">
        <v>4304</v>
      </c>
      <c r="I7" s="16">
        <v>472.9</v>
      </c>
      <c r="J7" s="19">
        <v>0.71499999999999997</v>
      </c>
      <c r="K7" s="16">
        <v>89.9</v>
      </c>
      <c r="L7" s="19">
        <v>0.95</v>
      </c>
      <c r="M7" s="19">
        <v>2.9000000000000001E-2</v>
      </c>
      <c r="N7" s="21">
        <v>28122.41</v>
      </c>
      <c r="O7" s="21">
        <v>19560.669999999998</v>
      </c>
      <c r="P7" s="26">
        <v>8561.74</v>
      </c>
    </row>
    <row r="8" spans="1:16" x14ac:dyDescent="0.3">
      <c r="A8" s="25">
        <v>7</v>
      </c>
      <c r="B8" s="16" t="s">
        <v>25</v>
      </c>
      <c r="C8" s="16">
        <v>2024</v>
      </c>
      <c r="D8" s="16" t="s">
        <v>26</v>
      </c>
      <c r="E8" s="16" t="s">
        <v>35</v>
      </c>
      <c r="F8" s="16" t="s">
        <v>33</v>
      </c>
      <c r="G8" s="16">
        <v>50</v>
      </c>
      <c r="H8" s="16">
        <v>10253</v>
      </c>
      <c r="I8" s="16">
        <v>478.6</v>
      </c>
      <c r="J8" s="19">
        <v>0.83399999999999996</v>
      </c>
      <c r="K8" s="16">
        <v>70.900000000000006</v>
      </c>
      <c r="L8" s="19">
        <v>0.90500000000000003</v>
      </c>
      <c r="M8" s="19">
        <v>4.5999999999999999E-2</v>
      </c>
      <c r="N8" s="21">
        <v>65802.59</v>
      </c>
      <c r="O8" s="21">
        <v>44107.28</v>
      </c>
      <c r="P8" s="26">
        <v>21695.31</v>
      </c>
    </row>
    <row r="9" spans="1:16" x14ac:dyDescent="0.3">
      <c r="A9" s="25">
        <v>8</v>
      </c>
      <c r="B9" s="16" t="s">
        <v>25</v>
      </c>
      <c r="C9" s="16">
        <v>2024</v>
      </c>
      <c r="D9" s="16" t="s">
        <v>26</v>
      </c>
      <c r="E9" s="16" t="s">
        <v>27</v>
      </c>
      <c r="F9" s="16" t="s">
        <v>36</v>
      </c>
      <c r="G9" s="16">
        <v>36</v>
      </c>
      <c r="H9" s="16">
        <v>5034</v>
      </c>
      <c r="I9" s="16">
        <v>868.4</v>
      </c>
      <c r="J9" s="19">
        <v>0.745</v>
      </c>
      <c r="K9" s="16">
        <v>81.900000000000006</v>
      </c>
      <c r="L9" s="19">
        <v>0.93</v>
      </c>
      <c r="M9" s="19">
        <v>3.4000000000000002E-2</v>
      </c>
      <c r="N9" s="21">
        <v>52690.38</v>
      </c>
      <c r="O9" s="21">
        <v>40014.85</v>
      </c>
      <c r="P9" s="26">
        <v>12675.53</v>
      </c>
    </row>
    <row r="10" spans="1:16" x14ac:dyDescent="0.3">
      <c r="A10" s="25">
        <v>9</v>
      </c>
      <c r="B10" s="16" t="s">
        <v>25</v>
      </c>
      <c r="C10" s="16">
        <v>2024</v>
      </c>
      <c r="D10" s="16" t="s">
        <v>26</v>
      </c>
      <c r="E10" s="16" t="s">
        <v>30</v>
      </c>
      <c r="F10" s="16" t="s">
        <v>36</v>
      </c>
      <c r="G10" s="16">
        <v>65</v>
      </c>
      <c r="H10" s="16">
        <v>11425</v>
      </c>
      <c r="I10" s="16">
        <v>887.6</v>
      </c>
      <c r="J10" s="19">
        <v>0.74</v>
      </c>
      <c r="K10" s="16">
        <v>81.7</v>
      </c>
      <c r="L10" s="19">
        <v>0.97599999999999998</v>
      </c>
      <c r="M10" s="19">
        <v>3.4000000000000002E-2</v>
      </c>
      <c r="N10" s="21">
        <v>78568.83</v>
      </c>
      <c r="O10" s="21">
        <v>59532.93</v>
      </c>
      <c r="P10" s="26">
        <v>19035.900000000001</v>
      </c>
    </row>
    <row r="11" spans="1:16" x14ac:dyDescent="0.3">
      <c r="A11" s="25">
        <v>10</v>
      </c>
      <c r="B11" s="16" t="s">
        <v>25</v>
      </c>
      <c r="C11" s="16">
        <v>2024</v>
      </c>
      <c r="D11" s="16" t="s">
        <v>26</v>
      </c>
      <c r="E11" s="16" t="s">
        <v>34</v>
      </c>
      <c r="F11" s="16" t="s">
        <v>37</v>
      </c>
      <c r="G11" s="16">
        <v>48</v>
      </c>
      <c r="H11" s="16">
        <v>6168</v>
      </c>
      <c r="I11" s="16">
        <v>622.29999999999995</v>
      </c>
      <c r="J11" s="19">
        <v>0.76400000000000001</v>
      </c>
      <c r="K11" s="16">
        <v>79.900000000000006</v>
      </c>
      <c r="L11" s="19">
        <v>0.83599999999999997</v>
      </c>
      <c r="M11" s="19">
        <v>2.1000000000000001E-2</v>
      </c>
      <c r="N11" s="21">
        <v>53444.639999999999</v>
      </c>
      <c r="O11" s="21">
        <v>33451.1</v>
      </c>
      <c r="P11" s="26">
        <v>19993.54</v>
      </c>
    </row>
    <row r="12" spans="1:16" x14ac:dyDescent="0.3">
      <c r="A12" s="25">
        <v>11</v>
      </c>
      <c r="B12" s="16" t="s">
        <v>25</v>
      </c>
      <c r="C12" s="16">
        <v>2024</v>
      </c>
      <c r="D12" s="16" t="s">
        <v>26</v>
      </c>
      <c r="E12" s="16" t="s">
        <v>31</v>
      </c>
      <c r="F12" s="16" t="s">
        <v>37</v>
      </c>
      <c r="G12" s="16">
        <v>35</v>
      </c>
      <c r="H12" s="16">
        <v>6022</v>
      </c>
      <c r="I12" s="16">
        <v>679.1</v>
      </c>
      <c r="J12" s="19">
        <v>0.66400000000000003</v>
      </c>
      <c r="K12" s="16">
        <v>77.099999999999994</v>
      </c>
      <c r="L12" s="19">
        <v>0.92</v>
      </c>
      <c r="M12" s="19">
        <v>3.4000000000000002E-2</v>
      </c>
      <c r="N12" s="21">
        <v>40803.699999999997</v>
      </c>
      <c r="O12" s="21">
        <v>26878.57</v>
      </c>
      <c r="P12" s="26">
        <v>13925.13</v>
      </c>
    </row>
    <row r="13" spans="1:16" x14ac:dyDescent="0.3">
      <c r="A13" s="25">
        <v>12</v>
      </c>
      <c r="B13" s="16" t="s">
        <v>25</v>
      </c>
      <c r="C13" s="16">
        <v>2024</v>
      </c>
      <c r="D13" s="16" t="s">
        <v>26</v>
      </c>
      <c r="E13" s="16" t="s">
        <v>35</v>
      </c>
      <c r="F13" s="16" t="s">
        <v>37</v>
      </c>
      <c r="G13" s="16">
        <v>33</v>
      </c>
      <c r="H13" s="16">
        <v>6224</v>
      </c>
      <c r="I13" s="16">
        <v>627.9</v>
      </c>
      <c r="J13" s="19">
        <v>0.76300000000000001</v>
      </c>
      <c r="K13" s="16">
        <v>87</v>
      </c>
      <c r="L13" s="19">
        <v>0.84699999999999998</v>
      </c>
      <c r="M13" s="19">
        <v>5.1999999999999998E-2</v>
      </c>
      <c r="N13" s="21">
        <v>42892.31</v>
      </c>
      <c r="O13" s="21">
        <v>32325.72</v>
      </c>
      <c r="P13" s="26">
        <v>10566.59</v>
      </c>
    </row>
    <row r="14" spans="1:16" x14ac:dyDescent="0.3">
      <c r="A14" s="25">
        <v>13</v>
      </c>
      <c r="B14" s="16" t="s">
        <v>25</v>
      </c>
      <c r="C14" s="16">
        <v>2024</v>
      </c>
      <c r="D14" s="16" t="s">
        <v>38</v>
      </c>
      <c r="E14" s="16" t="s">
        <v>34</v>
      </c>
      <c r="F14" s="16" t="s">
        <v>28</v>
      </c>
      <c r="G14" s="16">
        <v>21</v>
      </c>
      <c r="H14" s="16">
        <v>3642</v>
      </c>
      <c r="I14" s="16">
        <v>377.5</v>
      </c>
      <c r="J14" s="19">
        <v>0.80800000000000005</v>
      </c>
      <c r="K14" s="16">
        <v>79.400000000000006</v>
      </c>
      <c r="L14" s="19">
        <v>0.85299999999999998</v>
      </c>
      <c r="M14" s="19">
        <v>5.7000000000000002E-2</v>
      </c>
      <c r="N14" s="21">
        <v>29375.9</v>
      </c>
      <c r="O14" s="21">
        <v>22559.25</v>
      </c>
      <c r="P14" s="26">
        <v>6816.65</v>
      </c>
    </row>
    <row r="15" spans="1:16" x14ac:dyDescent="0.3">
      <c r="A15" s="25">
        <v>14</v>
      </c>
      <c r="B15" s="16" t="s">
        <v>25</v>
      </c>
      <c r="C15" s="16">
        <v>2024</v>
      </c>
      <c r="D15" s="16" t="s">
        <v>38</v>
      </c>
      <c r="E15" s="16" t="s">
        <v>31</v>
      </c>
      <c r="F15" s="16" t="s">
        <v>28</v>
      </c>
      <c r="G15" s="16">
        <v>57</v>
      </c>
      <c r="H15" s="16">
        <v>8295</v>
      </c>
      <c r="I15" s="16">
        <v>429.1</v>
      </c>
      <c r="J15" s="19">
        <v>0.85799999999999998</v>
      </c>
      <c r="K15" s="16">
        <v>76</v>
      </c>
      <c r="L15" s="19">
        <v>0.91600000000000004</v>
      </c>
      <c r="M15" s="19">
        <v>4.3999999999999997E-2</v>
      </c>
      <c r="N15" s="21">
        <v>96452.5</v>
      </c>
      <c r="O15" s="21">
        <v>65032.59</v>
      </c>
      <c r="P15" s="26">
        <v>31419.91</v>
      </c>
    </row>
    <row r="16" spans="1:16" x14ac:dyDescent="0.3">
      <c r="A16" s="25">
        <v>15</v>
      </c>
      <c r="B16" s="16" t="s">
        <v>25</v>
      </c>
      <c r="C16" s="16">
        <v>2024</v>
      </c>
      <c r="D16" s="16" t="s">
        <v>38</v>
      </c>
      <c r="E16" s="16" t="s">
        <v>32</v>
      </c>
      <c r="F16" s="16" t="s">
        <v>29</v>
      </c>
      <c r="G16" s="16">
        <v>54</v>
      </c>
      <c r="H16" s="16">
        <v>10701</v>
      </c>
      <c r="I16" s="16">
        <v>309.10000000000002</v>
      </c>
      <c r="J16" s="19">
        <v>0.70099999999999996</v>
      </c>
      <c r="K16" s="16">
        <v>81.900000000000006</v>
      </c>
      <c r="L16" s="19">
        <v>0.96299999999999997</v>
      </c>
      <c r="M16" s="19">
        <v>0.03</v>
      </c>
      <c r="N16" s="21">
        <v>84231.07</v>
      </c>
      <c r="O16" s="21">
        <v>55245.73</v>
      </c>
      <c r="P16" s="26">
        <v>28985.34</v>
      </c>
    </row>
    <row r="17" spans="1:16" x14ac:dyDescent="0.3">
      <c r="A17" s="25">
        <v>16</v>
      </c>
      <c r="B17" s="16" t="s">
        <v>25</v>
      </c>
      <c r="C17" s="16">
        <v>2024</v>
      </c>
      <c r="D17" s="16" t="s">
        <v>38</v>
      </c>
      <c r="E17" s="16" t="s">
        <v>27</v>
      </c>
      <c r="F17" s="16" t="s">
        <v>29</v>
      </c>
      <c r="G17" s="16">
        <v>33</v>
      </c>
      <c r="H17" s="16">
        <v>4873</v>
      </c>
      <c r="I17" s="16">
        <v>330.8</v>
      </c>
      <c r="J17" s="19">
        <v>0.72599999999999998</v>
      </c>
      <c r="K17" s="16">
        <v>83.1</v>
      </c>
      <c r="L17" s="19">
        <v>0.84799999999999998</v>
      </c>
      <c r="M17" s="19">
        <v>5.0999999999999997E-2</v>
      </c>
      <c r="N17" s="21">
        <v>45586.1</v>
      </c>
      <c r="O17" s="21">
        <v>30945.42</v>
      </c>
      <c r="P17" s="26">
        <v>14640.68</v>
      </c>
    </row>
    <row r="18" spans="1:16" x14ac:dyDescent="0.3">
      <c r="A18" s="25">
        <v>17</v>
      </c>
      <c r="B18" s="16" t="s">
        <v>25</v>
      </c>
      <c r="C18" s="16">
        <v>2024</v>
      </c>
      <c r="D18" s="16" t="s">
        <v>38</v>
      </c>
      <c r="E18" s="16" t="s">
        <v>31</v>
      </c>
      <c r="F18" s="16" t="s">
        <v>29</v>
      </c>
      <c r="G18" s="16">
        <v>58</v>
      </c>
      <c r="H18" s="16">
        <v>9677</v>
      </c>
      <c r="I18" s="16">
        <v>348.4</v>
      </c>
      <c r="J18" s="19">
        <v>0.68200000000000005</v>
      </c>
      <c r="K18" s="16">
        <v>94.7</v>
      </c>
      <c r="L18" s="19">
        <v>0.81599999999999995</v>
      </c>
      <c r="M18" s="19">
        <v>4.2999999999999997E-2</v>
      </c>
      <c r="N18" s="21">
        <v>74849.070000000007</v>
      </c>
      <c r="O18" s="21">
        <v>55058.400000000001</v>
      </c>
      <c r="P18" s="26">
        <v>19790.669999999998</v>
      </c>
    </row>
    <row r="19" spans="1:16" x14ac:dyDescent="0.3">
      <c r="A19" s="25">
        <v>18</v>
      </c>
      <c r="B19" s="16" t="s">
        <v>25</v>
      </c>
      <c r="C19" s="16">
        <v>2024</v>
      </c>
      <c r="D19" s="16" t="s">
        <v>38</v>
      </c>
      <c r="E19" s="16" t="s">
        <v>27</v>
      </c>
      <c r="F19" s="16" t="s">
        <v>33</v>
      </c>
      <c r="G19" s="16">
        <v>43</v>
      </c>
      <c r="H19" s="16">
        <v>8080</v>
      </c>
      <c r="I19" s="16">
        <v>461.9</v>
      </c>
      <c r="J19" s="19">
        <v>0.78700000000000003</v>
      </c>
      <c r="K19" s="16">
        <v>91.2</v>
      </c>
      <c r="L19" s="19">
        <v>0.84399999999999997</v>
      </c>
      <c r="M19" s="19">
        <v>3.9E-2</v>
      </c>
      <c r="N19" s="21">
        <v>57362.45</v>
      </c>
      <c r="O19" s="21">
        <v>40675.040000000001</v>
      </c>
      <c r="P19" s="26">
        <v>16687.41</v>
      </c>
    </row>
    <row r="20" spans="1:16" x14ac:dyDescent="0.3">
      <c r="A20" s="25">
        <v>19</v>
      </c>
      <c r="B20" s="16" t="s">
        <v>25</v>
      </c>
      <c r="C20" s="16">
        <v>2024</v>
      </c>
      <c r="D20" s="16" t="s">
        <v>38</v>
      </c>
      <c r="E20" s="16" t="s">
        <v>30</v>
      </c>
      <c r="F20" s="16" t="s">
        <v>33</v>
      </c>
      <c r="G20" s="16">
        <v>54</v>
      </c>
      <c r="H20" s="16">
        <v>11334</v>
      </c>
      <c r="I20" s="16">
        <v>489.2</v>
      </c>
      <c r="J20" s="19">
        <v>0.69099999999999995</v>
      </c>
      <c r="K20" s="16">
        <v>91.3</v>
      </c>
      <c r="L20" s="19">
        <v>0.95199999999999996</v>
      </c>
      <c r="M20" s="19">
        <v>4.2999999999999997E-2</v>
      </c>
      <c r="N20" s="21">
        <v>80946.52</v>
      </c>
      <c r="O20" s="21">
        <v>59285.03</v>
      </c>
      <c r="P20" s="26">
        <v>21661.49</v>
      </c>
    </row>
    <row r="21" spans="1:16" x14ac:dyDescent="0.3">
      <c r="A21" s="25">
        <v>20</v>
      </c>
      <c r="B21" s="16" t="s">
        <v>25</v>
      </c>
      <c r="C21" s="16">
        <v>2024</v>
      </c>
      <c r="D21" s="16" t="s">
        <v>38</v>
      </c>
      <c r="E21" s="16" t="s">
        <v>35</v>
      </c>
      <c r="F21" s="16" t="s">
        <v>33</v>
      </c>
      <c r="G21" s="16">
        <v>49</v>
      </c>
      <c r="H21" s="16">
        <v>8698</v>
      </c>
      <c r="I21" s="16">
        <v>481</v>
      </c>
      <c r="J21" s="19">
        <v>0.79200000000000004</v>
      </c>
      <c r="K21" s="16">
        <v>93.2</v>
      </c>
      <c r="L21" s="19">
        <v>0.98</v>
      </c>
      <c r="M21" s="19">
        <v>4.2000000000000003E-2</v>
      </c>
      <c r="N21" s="21">
        <v>80171.48</v>
      </c>
      <c r="O21" s="21">
        <v>59914.3</v>
      </c>
      <c r="P21" s="26">
        <v>20257.18</v>
      </c>
    </row>
    <row r="22" spans="1:16" x14ac:dyDescent="0.3">
      <c r="A22" s="25">
        <v>21</v>
      </c>
      <c r="B22" s="16" t="s">
        <v>25</v>
      </c>
      <c r="C22" s="16">
        <v>2024</v>
      </c>
      <c r="D22" s="16" t="s">
        <v>38</v>
      </c>
      <c r="E22" s="16" t="s">
        <v>32</v>
      </c>
      <c r="F22" s="16" t="s">
        <v>36</v>
      </c>
      <c r="G22" s="16">
        <v>27</v>
      </c>
      <c r="H22" s="16">
        <v>3772</v>
      </c>
      <c r="I22" s="16">
        <v>906.6</v>
      </c>
      <c r="J22" s="19">
        <v>0.64900000000000002</v>
      </c>
      <c r="K22" s="16">
        <v>84.8</v>
      </c>
      <c r="L22" s="19">
        <v>0.79300000000000004</v>
      </c>
      <c r="M22" s="19">
        <v>3.6999999999999998E-2</v>
      </c>
      <c r="N22" s="21">
        <v>35457</v>
      </c>
      <c r="O22" s="21">
        <v>25335.21</v>
      </c>
      <c r="P22" s="26">
        <v>10121.790000000001</v>
      </c>
    </row>
    <row r="23" spans="1:16" x14ac:dyDescent="0.3">
      <c r="A23" s="25">
        <v>22</v>
      </c>
      <c r="B23" s="16" t="s">
        <v>25</v>
      </c>
      <c r="C23" s="16">
        <v>2024</v>
      </c>
      <c r="D23" s="16" t="s">
        <v>38</v>
      </c>
      <c r="E23" s="16" t="s">
        <v>34</v>
      </c>
      <c r="F23" s="16" t="s">
        <v>36</v>
      </c>
      <c r="G23" s="16">
        <v>31</v>
      </c>
      <c r="H23" s="16">
        <v>5108</v>
      </c>
      <c r="I23" s="16">
        <v>962.4</v>
      </c>
      <c r="J23" s="19">
        <v>0.70799999999999996</v>
      </c>
      <c r="K23" s="16">
        <v>87.7</v>
      </c>
      <c r="L23" s="19">
        <v>1</v>
      </c>
      <c r="M23" s="19">
        <v>2.9000000000000001E-2</v>
      </c>
      <c r="N23" s="21">
        <v>51601.21</v>
      </c>
      <c r="O23" s="21">
        <v>37255.49</v>
      </c>
      <c r="P23" s="26">
        <v>14345.72</v>
      </c>
    </row>
    <row r="24" spans="1:16" x14ac:dyDescent="0.3">
      <c r="A24" s="25">
        <v>23</v>
      </c>
      <c r="B24" s="16" t="s">
        <v>25</v>
      </c>
      <c r="C24" s="16">
        <v>2024</v>
      </c>
      <c r="D24" s="16" t="s">
        <v>38</v>
      </c>
      <c r="E24" s="16" t="s">
        <v>31</v>
      </c>
      <c r="F24" s="16" t="s">
        <v>36</v>
      </c>
      <c r="G24" s="16">
        <v>45</v>
      </c>
      <c r="H24" s="16">
        <v>8167</v>
      </c>
      <c r="I24" s="16">
        <v>941.9</v>
      </c>
      <c r="J24" s="19">
        <v>0.66200000000000003</v>
      </c>
      <c r="K24" s="16">
        <v>82.8</v>
      </c>
      <c r="L24" s="19">
        <v>0.85399999999999998</v>
      </c>
      <c r="M24" s="19">
        <v>2.5000000000000001E-2</v>
      </c>
      <c r="N24" s="21">
        <v>70108.820000000007</v>
      </c>
      <c r="O24" s="21">
        <v>45411.38</v>
      </c>
      <c r="P24" s="26">
        <v>24697.439999999999</v>
      </c>
    </row>
    <row r="25" spans="1:16" x14ac:dyDescent="0.3">
      <c r="A25" s="25">
        <v>24</v>
      </c>
      <c r="B25" s="16" t="s">
        <v>25</v>
      </c>
      <c r="C25" s="16">
        <v>2024</v>
      </c>
      <c r="D25" s="16" t="s">
        <v>38</v>
      </c>
      <c r="E25" s="16" t="s">
        <v>30</v>
      </c>
      <c r="F25" s="16" t="s">
        <v>37</v>
      </c>
      <c r="G25" s="16">
        <v>26</v>
      </c>
      <c r="H25" s="16">
        <v>4985</v>
      </c>
      <c r="I25" s="16">
        <v>744.9</v>
      </c>
      <c r="J25" s="19">
        <v>0.74199999999999999</v>
      </c>
      <c r="K25" s="16">
        <v>74.400000000000006</v>
      </c>
      <c r="L25" s="19">
        <v>0.97599999999999998</v>
      </c>
      <c r="M25" s="19">
        <v>3.6999999999999998E-2</v>
      </c>
      <c r="N25" s="21">
        <v>32308.83</v>
      </c>
      <c r="O25" s="21">
        <v>20105.88</v>
      </c>
      <c r="P25" s="26">
        <v>12202.95</v>
      </c>
    </row>
    <row r="26" spans="1:16" x14ac:dyDescent="0.3">
      <c r="A26" s="25">
        <v>25</v>
      </c>
      <c r="B26" s="16" t="s">
        <v>25</v>
      </c>
      <c r="C26" s="16">
        <v>2024</v>
      </c>
      <c r="D26" s="16" t="s">
        <v>39</v>
      </c>
      <c r="E26" s="16" t="s">
        <v>32</v>
      </c>
      <c r="F26" s="16" t="s">
        <v>28</v>
      </c>
      <c r="G26" s="16">
        <v>41</v>
      </c>
      <c r="H26" s="16">
        <v>8702</v>
      </c>
      <c r="I26" s="16">
        <v>419.2</v>
      </c>
      <c r="J26" s="19">
        <v>0.72399999999999998</v>
      </c>
      <c r="K26" s="16">
        <v>74.5</v>
      </c>
      <c r="L26" s="19">
        <v>0.78</v>
      </c>
      <c r="M26" s="19">
        <v>3.9E-2</v>
      </c>
      <c r="N26" s="21">
        <v>49394.74</v>
      </c>
      <c r="O26" s="21">
        <v>35491.9</v>
      </c>
      <c r="P26" s="26">
        <v>13902.84</v>
      </c>
    </row>
    <row r="27" spans="1:16" x14ac:dyDescent="0.3">
      <c r="A27" s="25">
        <v>26</v>
      </c>
      <c r="B27" s="16" t="s">
        <v>25</v>
      </c>
      <c r="C27" s="16">
        <v>2024</v>
      </c>
      <c r="D27" s="16" t="s">
        <v>39</v>
      </c>
      <c r="E27" s="16" t="s">
        <v>27</v>
      </c>
      <c r="F27" s="16" t="s">
        <v>28</v>
      </c>
      <c r="G27" s="16">
        <v>43</v>
      </c>
      <c r="H27" s="16">
        <v>6965</v>
      </c>
      <c r="I27" s="16">
        <v>422.3</v>
      </c>
      <c r="J27" s="19">
        <v>0.92100000000000004</v>
      </c>
      <c r="K27" s="16">
        <v>83</v>
      </c>
      <c r="L27" s="19">
        <v>0.88800000000000001</v>
      </c>
      <c r="M27" s="19">
        <v>4.9000000000000002E-2</v>
      </c>
      <c r="N27" s="21">
        <v>75695.3</v>
      </c>
      <c r="O27" s="21">
        <v>54025.56</v>
      </c>
      <c r="P27" s="26">
        <v>21669.74</v>
      </c>
    </row>
    <row r="28" spans="1:16" x14ac:dyDescent="0.3">
      <c r="A28" s="25">
        <v>27</v>
      </c>
      <c r="B28" s="16" t="s">
        <v>25</v>
      </c>
      <c r="C28" s="16">
        <v>2024</v>
      </c>
      <c r="D28" s="16" t="s">
        <v>39</v>
      </c>
      <c r="E28" s="16" t="s">
        <v>30</v>
      </c>
      <c r="F28" s="16" t="s">
        <v>28</v>
      </c>
      <c r="G28" s="16">
        <v>16</v>
      </c>
      <c r="H28" s="16">
        <v>3192</v>
      </c>
      <c r="I28" s="16">
        <v>395.4</v>
      </c>
      <c r="J28" s="19">
        <v>0.90700000000000003</v>
      </c>
      <c r="K28" s="16">
        <v>84.4</v>
      </c>
      <c r="L28" s="19">
        <v>0.92600000000000005</v>
      </c>
      <c r="M28" s="19">
        <v>4.1000000000000002E-2</v>
      </c>
      <c r="N28" s="21">
        <v>27200.34</v>
      </c>
      <c r="O28" s="21">
        <v>20804.349999999999</v>
      </c>
      <c r="P28" s="26">
        <v>6395.99</v>
      </c>
    </row>
    <row r="29" spans="1:16" x14ac:dyDescent="0.3">
      <c r="A29" s="25">
        <v>28</v>
      </c>
      <c r="B29" s="16" t="s">
        <v>25</v>
      </c>
      <c r="C29" s="16">
        <v>2024</v>
      </c>
      <c r="D29" s="16" t="s">
        <v>39</v>
      </c>
      <c r="E29" s="16" t="s">
        <v>30</v>
      </c>
      <c r="F29" s="16" t="s">
        <v>29</v>
      </c>
      <c r="G29" s="16">
        <v>41</v>
      </c>
      <c r="H29" s="16">
        <v>6617</v>
      </c>
      <c r="I29" s="16">
        <v>276.39999999999998</v>
      </c>
      <c r="J29" s="19">
        <v>0.70099999999999996</v>
      </c>
      <c r="K29" s="16">
        <v>79.8</v>
      </c>
      <c r="L29" s="19">
        <v>0.95399999999999996</v>
      </c>
      <c r="M29" s="19">
        <v>3.3000000000000002E-2</v>
      </c>
      <c r="N29" s="21">
        <v>61146.49</v>
      </c>
      <c r="O29" s="21">
        <v>45102.35</v>
      </c>
      <c r="P29" s="26">
        <v>16044.14</v>
      </c>
    </row>
    <row r="30" spans="1:16" x14ac:dyDescent="0.3">
      <c r="A30" s="25">
        <v>29</v>
      </c>
      <c r="B30" s="16" t="s">
        <v>25</v>
      </c>
      <c r="C30" s="16">
        <v>2024</v>
      </c>
      <c r="D30" s="16" t="s">
        <v>39</v>
      </c>
      <c r="E30" s="16" t="s">
        <v>34</v>
      </c>
      <c r="F30" s="16" t="s">
        <v>29</v>
      </c>
      <c r="G30" s="16">
        <v>32</v>
      </c>
      <c r="H30" s="16">
        <v>5118</v>
      </c>
      <c r="I30" s="16">
        <v>329.9</v>
      </c>
      <c r="J30" s="19">
        <v>0.68700000000000006</v>
      </c>
      <c r="K30" s="16">
        <v>77.900000000000006</v>
      </c>
      <c r="L30" s="19">
        <v>0.97699999999999998</v>
      </c>
      <c r="M30" s="19">
        <v>4.1000000000000002E-2</v>
      </c>
      <c r="N30" s="21">
        <v>41505.81</v>
      </c>
      <c r="O30" s="21">
        <v>27996.85</v>
      </c>
      <c r="P30" s="26">
        <v>13508.96</v>
      </c>
    </row>
    <row r="31" spans="1:16" x14ac:dyDescent="0.3">
      <c r="A31" s="25">
        <v>30</v>
      </c>
      <c r="B31" s="16" t="s">
        <v>25</v>
      </c>
      <c r="C31" s="16">
        <v>2024</v>
      </c>
      <c r="D31" s="16" t="s">
        <v>39</v>
      </c>
      <c r="E31" s="16" t="s">
        <v>31</v>
      </c>
      <c r="F31" s="16" t="s">
        <v>29</v>
      </c>
      <c r="G31" s="16">
        <v>41</v>
      </c>
      <c r="H31" s="16">
        <v>8020</v>
      </c>
      <c r="I31" s="16">
        <v>333</v>
      </c>
      <c r="J31" s="19">
        <v>0.69899999999999995</v>
      </c>
      <c r="K31" s="16">
        <v>84.5</v>
      </c>
      <c r="L31" s="19">
        <v>0.94099999999999995</v>
      </c>
      <c r="M31" s="19">
        <v>0.04</v>
      </c>
      <c r="N31" s="21">
        <v>56082.63</v>
      </c>
      <c r="O31" s="21">
        <v>38263.620000000003</v>
      </c>
      <c r="P31" s="26">
        <v>17819.009999999998</v>
      </c>
    </row>
    <row r="32" spans="1:16" x14ac:dyDescent="0.3">
      <c r="A32" s="25">
        <v>31</v>
      </c>
      <c r="B32" s="16" t="s">
        <v>25</v>
      </c>
      <c r="C32" s="16">
        <v>2024</v>
      </c>
      <c r="D32" s="16" t="s">
        <v>39</v>
      </c>
      <c r="E32" s="16" t="s">
        <v>32</v>
      </c>
      <c r="F32" s="16" t="s">
        <v>33</v>
      </c>
      <c r="G32" s="16">
        <v>40</v>
      </c>
      <c r="H32" s="16">
        <v>6352</v>
      </c>
      <c r="I32" s="16">
        <v>556.5</v>
      </c>
      <c r="J32" s="19">
        <v>0.80400000000000005</v>
      </c>
      <c r="K32" s="16">
        <v>74</v>
      </c>
      <c r="L32" s="19">
        <v>0.97199999999999998</v>
      </c>
      <c r="M32" s="19">
        <v>3.5999999999999997E-2</v>
      </c>
      <c r="N32" s="21">
        <v>52839.98</v>
      </c>
      <c r="O32" s="21">
        <v>39121.660000000003</v>
      </c>
      <c r="P32" s="26">
        <v>13718.32</v>
      </c>
    </row>
    <row r="33" spans="1:16" x14ac:dyDescent="0.3">
      <c r="A33" s="25">
        <v>32</v>
      </c>
      <c r="B33" s="16" t="s">
        <v>25</v>
      </c>
      <c r="C33" s="16">
        <v>2024</v>
      </c>
      <c r="D33" s="16" t="s">
        <v>39</v>
      </c>
      <c r="E33" s="16" t="s">
        <v>27</v>
      </c>
      <c r="F33" s="16" t="s">
        <v>33</v>
      </c>
      <c r="G33" s="16">
        <v>34</v>
      </c>
      <c r="H33" s="16">
        <v>5841</v>
      </c>
      <c r="I33" s="16">
        <v>396.4</v>
      </c>
      <c r="J33" s="19">
        <v>0.84599999999999997</v>
      </c>
      <c r="K33" s="16">
        <v>81.5</v>
      </c>
      <c r="L33" s="19">
        <v>0.93700000000000006</v>
      </c>
      <c r="M33" s="19">
        <v>4.8000000000000001E-2</v>
      </c>
      <c r="N33" s="21">
        <v>66048.69</v>
      </c>
      <c r="O33" s="21">
        <v>42018.83</v>
      </c>
      <c r="P33" s="26">
        <v>24029.86</v>
      </c>
    </row>
    <row r="34" spans="1:16" x14ac:dyDescent="0.3">
      <c r="A34" s="25">
        <v>33</v>
      </c>
      <c r="B34" s="16" t="s">
        <v>25</v>
      </c>
      <c r="C34" s="16">
        <v>2024</v>
      </c>
      <c r="D34" s="16" t="s">
        <v>39</v>
      </c>
      <c r="E34" s="16" t="s">
        <v>34</v>
      </c>
      <c r="F34" s="16" t="s">
        <v>33</v>
      </c>
      <c r="G34" s="16">
        <v>37</v>
      </c>
      <c r="H34" s="16">
        <v>6548</v>
      </c>
      <c r="I34" s="16">
        <v>422.1</v>
      </c>
      <c r="J34" s="19">
        <v>0.65600000000000003</v>
      </c>
      <c r="K34" s="16">
        <v>79.400000000000006</v>
      </c>
      <c r="L34" s="19">
        <v>0.91900000000000004</v>
      </c>
      <c r="M34" s="19">
        <v>3.7999999999999999E-2</v>
      </c>
      <c r="N34" s="21">
        <v>60729.83</v>
      </c>
      <c r="O34" s="21">
        <v>41774.559999999998</v>
      </c>
      <c r="P34" s="26">
        <v>18955.27</v>
      </c>
    </row>
    <row r="35" spans="1:16" x14ac:dyDescent="0.3">
      <c r="A35" s="25">
        <v>34</v>
      </c>
      <c r="B35" s="16" t="s">
        <v>25</v>
      </c>
      <c r="C35" s="16">
        <v>2024</v>
      </c>
      <c r="D35" s="16" t="s">
        <v>39</v>
      </c>
      <c r="E35" s="16" t="s">
        <v>31</v>
      </c>
      <c r="F35" s="16" t="s">
        <v>33</v>
      </c>
      <c r="G35" s="16">
        <v>44</v>
      </c>
      <c r="H35" s="16">
        <v>6619</v>
      </c>
      <c r="I35" s="16">
        <v>479.3</v>
      </c>
      <c r="J35" s="19">
        <v>0.72299999999999998</v>
      </c>
      <c r="K35" s="16">
        <v>84.6</v>
      </c>
      <c r="L35" s="19">
        <v>0.93100000000000005</v>
      </c>
      <c r="M35" s="19">
        <v>3.2000000000000001E-2</v>
      </c>
      <c r="N35" s="21">
        <v>77796.22</v>
      </c>
      <c r="O35" s="21">
        <v>60210.2</v>
      </c>
      <c r="P35" s="26">
        <v>17586.02</v>
      </c>
    </row>
    <row r="36" spans="1:16" x14ac:dyDescent="0.3">
      <c r="A36" s="25">
        <v>35</v>
      </c>
      <c r="B36" s="16" t="s">
        <v>25</v>
      </c>
      <c r="C36" s="16">
        <v>2024</v>
      </c>
      <c r="D36" s="16" t="s">
        <v>39</v>
      </c>
      <c r="E36" s="16" t="s">
        <v>27</v>
      </c>
      <c r="F36" s="16" t="s">
        <v>36</v>
      </c>
      <c r="G36" s="16">
        <v>48</v>
      </c>
      <c r="H36" s="16">
        <v>8268</v>
      </c>
      <c r="I36" s="16">
        <v>903.9</v>
      </c>
      <c r="J36" s="19">
        <v>0.65400000000000003</v>
      </c>
      <c r="K36" s="16">
        <v>82.1</v>
      </c>
      <c r="L36" s="19">
        <v>0.98699999999999999</v>
      </c>
      <c r="M36" s="19">
        <v>4.4999999999999998E-2</v>
      </c>
      <c r="N36" s="21">
        <v>74018.77</v>
      </c>
      <c r="O36" s="21">
        <v>51274.77</v>
      </c>
      <c r="P36" s="26">
        <v>22744</v>
      </c>
    </row>
    <row r="37" spans="1:16" x14ac:dyDescent="0.3">
      <c r="A37" s="25">
        <v>36</v>
      </c>
      <c r="B37" s="16" t="s">
        <v>25</v>
      </c>
      <c r="C37" s="16">
        <v>2024</v>
      </c>
      <c r="D37" s="16" t="s">
        <v>39</v>
      </c>
      <c r="E37" s="16" t="s">
        <v>30</v>
      </c>
      <c r="F37" s="16" t="s">
        <v>36</v>
      </c>
      <c r="G37" s="16">
        <v>58</v>
      </c>
      <c r="H37" s="16">
        <v>10204</v>
      </c>
      <c r="I37" s="16">
        <v>987.6</v>
      </c>
      <c r="J37" s="19">
        <v>0.65200000000000002</v>
      </c>
      <c r="K37" s="16">
        <v>77.8</v>
      </c>
      <c r="L37" s="19">
        <v>0.77300000000000002</v>
      </c>
      <c r="M37" s="19">
        <v>3.4000000000000002E-2</v>
      </c>
      <c r="N37" s="21">
        <v>73259.679999999993</v>
      </c>
      <c r="O37" s="21">
        <v>52262.36</v>
      </c>
      <c r="P37" s="26">
        <v>20997.32</v>
      </c>
    </row>
    <row r="38" spans="1:16" x14ac:dyDescent="0.3">
      <c r="A38" s="25">
        <v>37</v>
      </c>
      <c r="B38" s="16" t="s">
        <v>25</v>
      </c>
      <c r="C38" s="16">
        <v>2024</v>
      </c>
      <c r="D38" s="16" t="s">
        <v>39</v>
      </c>
      <c r="E38" s="16" t="s">
        <v>31</v>
      </c>
      <c r="F38" s="16" t="s">
        <v>36</v>
      </c>
      <c r="G38" s="16">
        <v>16</v>
      </c>
      <c r="H38" s="16">
        <v>2876</v>
      </c>
      <c r="I38" s="16">
        <v>922.9</v>
      </c>
      <c r="J38" s="19">
        <v>0.75800000000000001</v>
      </c>
      <c r="K38" s="16">
        <v>85.7</v>
      </c>
      <c r="L38" s="19">
        <v>0.94199999999999995</v>
      </c>
      <c r="M38" s="19">
        <v>5.5E-2</v>
      </c>
      <c r="N38" s="21">
        <v>23775.52</v>
      </c>
      <c r="O38" s="21">
        <v>18035.400000000001</v>
      </c>
      <c r="P38" s="26">
        <v>5740.12</v>
      </c>
    </row>
    <row r="39" spans="1:16" x14ac:dyDescent="0.3">
      <c r="A39" s="25">
        <v>38</v>
      </c>
      <c r="B39" s="16" t="s">
        <v>25</v>
      </c>
      <c r="C39" s="16">
        <v>2024</v>
      </c>
      <c r="D39" s="16" t="s">
        <v>39</v>
      </c>
      <c r="E39" s="16" t="s">
        <v>30</v>
      </c>
      <c r="F39" s="16" t="s">
        <v>37</v>
      </c>
      <c r="G39" s="16">
        <v>19</v>
      </c>
      <c r="H39" s="16">
        <v>3821</v>
      </c>
      <c r="I39" s="16">
        <v>655.4</v>
      </c>
      <c r="J39" s="19">
        <v>0.754</v>
      </c>
      <c r="K39" s="16">
        <v>71</v>
      </c>
      <c r="L39" s="19">
        <v>0.9</v>
      </c>
      <c r="M39" s="19">
        <v>3.4000000000000002E-2</v>
      </c>
      <c r="N39" s="21">
        <v>28828</v>
      </c>
      <c r="O39" s="21">
        <v>21420.3</v>
      </c>
      <c r="P39" s="26">
        <v>7407.7</v>
      </c>
    </row>
    <row r="40" spans="1:16" x14ac:dyDescent="0.3">
      <c r="A40" s="25">
        <v>39</v>
      </c>
      <c r="B40" s="16" t="s">
        <v>25</v>
      </c>
      <c r="C40" s="16">
        <v>2024</v>
      </c>
      <c r="D40" s="16" t="s">
        <v>39</v>
      </c>
      <c r="E40" s="16" t="s">
        <v>34</v>
      </c>
      <c r="F40" s="16" t="s">
        <v>37</v>
      </c>
      <c r="G40" s="16">
        <v>38</v>
      </c>
      <c r="H40" s="16">
        <v>7044</v>
      </c>
      <c r="I40" s="16">
        <v>617.29999999999995</v>
      </c>
      <c r="J40" s="19">
        <v>0.67100000000000004</v>
      </c>
      <c r="K40" s="16">
        <v>79.599999999999994</v>
      </c>
      <c r="L40" s="19">
        <v>0.94299999999999995</v>
      </c>
      <c r="M40" s="19">
        <v>4.4999999999999998E-2</v>
      </c>
      <c r="N40" s="21">
        <v>44693.25</v>
      </c>
      <c r="O40" s="21">
        <v>32130</v>
      </c>
      <c r="P40" s="26">
        <v>12563.25</v>
      </c>
    </row>
    <row r="41" spans="1:16" x14ac:dyDescent="0.3">
      <c r="A41" s="25">
        <v>40</v>
      </c>
      <c r="B41" s="16" t="s">
        <v>25</v>
      </c>
      <c r="C41" s="16">
        <v>2024</v>
      </c>
      <c r="D41" s="16" t="s">
        <v>40</v>
      </c>
      <c r="E41" s="16" t="s">
        <v>32</v>
      </c>
      <c r="F41" s="16" t="s">
        <v>28</v>
      </c>
      <c r="G41" s="16">
        <v>68</v>
      </c>
      <c r="H41" s="16">
        <v>11865</v>
      </c>
      <c r="I41" s="16">
        <v>467.2</v>
      </c>
      <c r="J41" s="19">
        <v>0.78400000000000003</v>
      </c>
      <c r="K41" s="16">
        <v>93.3</v>
      </c>
      <c r="L41" s="19">
        <v>0.88500000000000001</v>
      </c>
      <c r="M41" s="19">
        <v>5.2999999999999999E-2</v>
      </c>
      <c r="N41" s="21">
        <v>113869.19</v>
      </c>
      <c r="O41" s="21">
        <v>73040.53</v>
      </c>
      <c r="P41" s="26">
        <v>40828.660000000003</v>
      </c>
    </row>
    <row r="42" spans="1:16" x14ac:dyDescent="0.3">
      <c r="A42" s="25">
        <v>41</v>
      </c>
      <c r="B42" s="16" t="s">
        <v>25</v>
      </c>
      <c r="C42" s="16">
        <v>2024</v>
      </c>
      <c r="D42" s="16" t="s">
        <v>40</v>
      </c>
      <c r="E42" s="16" t="s">
        <v>30</v>
      </c>
      <c r="F42" s="16" t="s">
        <v>28</v>
      </c>
      <c r="G42" s="16">
        <v>67</v>
      </c>
      <c r="H42" s="16">
        <v>12788</v>
      </c>
      <c r="I42" s="16">
        <v>402.7</v>
      </c>
      <c r="J42" s="19">
        <v>0.75900000000000001</v>
      </c>
      <c r="K42" s="16">
        <v>74.3</v>
      </c>
      <c r="L42" s="19">
        <v>0.95299999999999996</v>
      </c>
      <c r="M42" s="19">
        <v>4.9000000000000002E-2</v>
      </c>
      <c r="N42" s="21">
        <v>95012.23</v>
      </c>
      <c r="O42" s="21">
        <v>64201.75</v>
      </c>
      <c r="P42" s="26">
        <v>30810.48</v>
      </c>
    </row>
    <row r="43" spans="1:16" x14ac:dyDescent="0.3">
      <c r="A43" s="25">
        <v>42</v>
      </c>
      <c r="B43" s="16" t="s">
        <v>25</v>
      </c>
      <c r="C43" s="16">
        <v>2024</v>
      </c>
      <c r="D43" s="16" t="s">
        <v>40</v>
      </c>
      <c r="E43" s="16" t="s">
        <v>31</v>
      </c>
      <c r="F43" s="16" t="s">
        <v>28</v>
      </c>
      <c r="G43" s="16">
        <v>69</v>
      </c>
      <c r="H43" s="16">
        <v>9820</v>
      </c>
      <c r="I43" s="16">
        <v>351.9</v>
      </c>
      <c r="J43" s="19">
        <v>0.77700000000000002</v>
      </c>
      <c r="K43" s="16">
        <v>84.9</v>
      </c>
      <c r="L43" s="19">
        <v>0.77600000000000002</v>
      </c>
      <c r="M43" s="19">
        <v>3.5000000000000003E-2</v>
      </c>
      <c r="N43" s="21">
        <v>100100.15</v>
      </c>
      <c r="O43" s="21">
        <v>72206.66</v>
      </c>
      <c r="P43" s="26">
        <v>27893.49</v>
      </c>
    </row>
    <row r="44" spans="1:16" x14ac:dyDescent="0.3">
      <c r="A44" s="25">
        <v>43</v>
      </c>
      <c r="B44" s="16" t="s">
        <v>25</v>
      </c>
      <c r="C44" s="16">
        <v>2024</v>
      </c>
      <c r="D44" s="16" t="s">
        <v>40</v>
      </c>
      <c r="E44" s="16" t="s">
        <v>35</v>
      </c>
      <c r="F44" s="16" t="s">
        <v>29</v>
      </c>
      <c r="G44" s="16">
        <v>37</v>
      </c>
      <c r="H44" s="16">
        <v>5521</v>
      </c>
      <c r="I44" s="16">
        <v>297.5</v>
      </c>
      <c r="J44" s="19">
        <v>0.70699999999999996</v>
      </c>
      <c r="K44" s="16">
        <v>75.099999999999994</v>
      </c>
      <c r="L44" s="19">
        <v>0.86799999999999999</v>
      </c>
      <c r="M44" s="19">
        <v>0.04</v>
      </c>
      <c r="N44" s="21">
        <v>45340.42</v>
      </c>
      <c r="O44" s="21">
        <v>29395.18</v>
      </c>
      <c r="P44" s="26">
        <v>15945.24</v>
      </c>
    </row>
    <row r="45" spans="1:16" x14ac:dyDescent="0.3">
      <c r="A45" s="25">
        <v>44</v>
      </c>
      <c r="B45" s="16" t="s">
        <v>25</v>
      </c>
      <c r="C45" s="16">
        <v>2024</v>
      </c>
      <c r="D45" s="16" t="s">
        <v>40</v>
      </c>
      <c r="E45" s="16" t="s">
        <v>32</v>
      </c>
      <c r="F45" s="16" t="s">
        <v>36</v>
      </c>
      <c r="G45" s="16">
        <v>34</v>
      </c>
      <c r="H45" s="16">
        <v>6004</v>
      </c>
      <c r="I45" s="16">
        <v>895.5</v>
      </c>
      <c r="J45" s="19">
        <v>0.68700000000000006</v>
      </c>
      <c r="K45" s="16">
        <v>87.1</v>
      </c>
      <c r="L45" s="19">
        <v>0.86799999999999999</v>
      </c>
      <c r="M45" s="19">
        <v>4.2999999999999997E-2</v>
      </c>
      <c r="N45" s="21">
        <v>42167.94</v>
      </c>
      <c r="O45" s="21">
        <v>28643.65</v>
      </c>
      <c r="P45" s="26">
        <v>13524.29</v>
      </c>
    </row>
    <row r="46" spans="1:16" x14ac:dyDescent="0.3">
      <c r="A46" s="25">
        <v>45</v>
      </c>
      <c r="B46" s="16" t="s">
        <v>25</v>
      </c>
      <c r="C46" s="16">
        <v>2024</v>
      </c>
      <c r="D46" s="16" t="s">
        <v>40</v>
      </c>
      <c r="E46" s="16" t="s">
        <v>30</v>
      </c>
      <c r="F46" s="16" t="s">
        <v>36</v>
      </c>
      <c r="G46" s="16">
        <v>35</v>
      </c>
      <c r="H46" s="16">
        <v>4370</v>
      </c>
      <c r="I46" s="16">
        <v>934.1</v>
      </c>
      <c r="J46" s="19">
        <v>0.64100000000000001</v>
      </c>
      <c r="K46" s="16">
        <v>84.1</v>
      </c>
      <c r="L46" s="19">
        <v>0.84199999999999997</v>
      </c>
      <c r="M46" s="19">
        <v>4.4999999999999998E-2</v>
      </c>
      <c r="N46" s="21">
        <v>45396.92</v>
      </c>
      <c r="O46" s="21">
        <v>31395.87</v>
      </c>
      <c r="P46" s="26">
        <v>14001.05</v>
      </c>
    </row>
    <row r="47" spans="1:16" x14ac:dyDescent="0.3">
      <c r="A47" s="25">
        <v>46</v>
      </c>
      <c r="B47" s="16" t="s">
        <v>25</v>
      </c>
      <c r="C47" s="16">
        <v>2024</v>
      </c>
      <c r="D47" s="16" t="s">
        <v>41</v>
      </c>
      <c r="E47" s="16" t="s">
        <v>32</v>
      </c>
      <c r="F47" s="16" t="s">
        <v>28</v>
      </c>
      <c r="G47" s="16">
        <v>70</v>
      </c>
      <c r="H47" s="16">
        <v>13366</v>
      </c>
      <c r="I47" s="16">
        <v>419.7</v>
      </c>
      <c r="J47" s="19">
        <v>0.86899999999999999</v>
      </c>
      <c r="K47" s="16">
        <v>86.4</v>
      </c>
      <c r="L47" s="19">
        <v>0.99099999999999999</v>
      </c>
      <c r="M47" s="19">
        <v>2.1000000000000001E-2</v>
      </c>
      <c r="N47" s="21">
        <v>154577.67000000001</v>
      </c>
      <c r="O47" s="21">
        <v>106514.14</v>
      </c>
      <c r="P47" s="26">
        <v>48063.53</v>
      </c>
    </row>
    <row r="48" spans="1:16" x14ac:dyDescent="0.3">
      <c r="A48" s="25">
        <v>47</v>
      </c>
      <c r="B48" s="16" t="s">
        <v>25</v>
      </c>
      <c r="C48" s="16">
        <v>2024</v>
      </c>
      <c r="D48" s="16" t="s">
        <v>41</v>
      </c>
      <c r="E48" s="16" t="s">
        <v>31</v>
      </c>
      <c r="F48" s="16" t="s">
        <v>28</v>
      </c>
      <c r="G48" s="16">
        <v>16</v>
      </c>
      <c r="H48" s="16">
        <v>3075</v>
      </c>
      <c r="I48" s="16">
        <v>421.1</v>
      </c>
      <c r="J48" s="19">
        <v>0.78800000000000003</v>
      </c>
      <c r="K48" s="16">
        <v>84.2</v>
      </c>
      <c r="L48" s="19">
        <v>0.873</v>
      </c>
      <c r="M48" s="19">
        <v>2.8000000000000001E-2</v>
      </c>
      <c r="N48" s="21">
        <v>28013.51</v>
      </c>
      <c r="O48" s="21">
        <v>18088.580000000002</v>
      </c>
      <c r="P48" s="26">
        <v>9924.93</v>
      </c>
    </row>
    <row r="49" spans="1:16" x14ac:dyDescent="0.3">
      <c r="A49" s="25">
        <v>48</v>
      </c>
      <c r="B49" s="16" t="s">
        <v>25</v>
      </c>
      <c r="C49" s="16">
        <v>2024</v>
      </c>
      <c r="D49" s="16" t="s">
        <v>41</v>
      </c>
      <c r="E49" s="16" t="s">
        <v>30</v>
      </c>
      <c r="F49" s="16" t="s">
        <v>29</v>
      </c>
      <c r="G49" s="16">
        <v>45</v>
      </c>
      <c r="H49" s="16">
        <v>6936</v>
      </c>
      <c r="I49" s="16">
        <v>310.8</v>
      </c>
      <c r="J49" s="19">
        <v>0.64700000000000002</v>
      </c>
      <c r="K49" s="16">
        <v>81.8</v>
      </c>
      <c r="L49" s="19">
        <v>0.86499999999999999</v>
      </c>
      <c r="M49" s="19">
        <v>2.1000000000000001E-2</v>
      </c>
      <c r="N49" s="21">
        <v>82726.990000000005</v>
      </c>
      <c r="O49" s="21">
        <v>53552.66</v>
      </c>
      <c r="P49" s="26">
        <v>29174.33</v>
      </c>
    </row>
    <row r="50" spans="1:16" x14ac:dyDescent="0.3">
      <c r="A50" s="25">
        <v>49</v>
      </c>
      <c r="B50" s="16" t="s">
        <v>25</v>
      </c>
      <c r="C50" s="16">
        <v>2024</v>
      </c>
      <c r="D50" s="16" t="s">
        <v>41</v>
      </c>
      <c r="E50" s="16" t="s">
        <v>34</v>
      </c>
      <c r="F50" s="16" t="s">
        <v>29</v>
      </c>
      <c r="G50" s="16">
        <v>46</v>
      </c>
      <c r="H50" s="16">
        <v>8655</v>
      </c>
      <c r="I50" s="16">
        <v>233.2</v>
      </c>
      <c r="J50" s="19">
        <v>0.68300000000000005</v>
      </c>
      <c r="K50" s="16">
        <v>79.7</v>
      </c>
      <c r="L50" s="19">
        <v>0.85399999999999998</v>
      </c>
      <c r="M50" s="19">
        <v>3.5999999999999997E-2</v>
      </c>
      <c r="N50" s="21">
        <v>59972.21</v>
      </c>
      <c r="O50" s="21">
        <v>42053.57</v>
      </c>
      <c r="P50" s="26">
        <v>17918.64</v>
      </c>
    </row>
    <row r="51" spans="1:16" x14ac:dyDescent="0.3">
      <c r="A51" s="25">
        <v>50</v>
      </c>
      <c r="B51" s="16" t="s">
        <v>25</v>
      </c>
      <c r="C51" s="16">
        <v>2024</v>
      </c>
      <c r="D51" s="16" t="s">
        <v>41</v>
      </c>
      <c r="E51" s="16" t="s">
        <v>32</v>
      </c>
      <c r="F51" s="16" t="s">
        <v>33</v>
      </c>
      <c r="G51" s="16">
        <v>54</v>
      </c>
      <c r="H51" s="16">
        <v>7358</v>
      </c>
      <c r="I51" s="16">
        <v>477.4</v>
      </c>
      <c r="J51" s="19">
        <v>0.66700000000000004</v>
      </c>
      <c r="K51" s="16">
        <v>84.7</v>
      </c>
      <c r="L51" s="19">
        <v>0.84799999999999998</v>
      </c>
      <c r="M51" s="19">
        <v>0.03</v>
      </c>
      <c r="N51" s="21">
        <v>87114.84</v>
      </c>
      <c r="O51" s="21">
        <v>54894.54</v>
      </c>
      <c r="P51" s="26">
        <v>32220.3</v>
      </c>
    </row>
    <row r="52" spans="1:16" x14ac:dyDescent="0.3">
      <c r="A52" s="25">
        <v>51</v>
      </c>
      <c r="B52" s="16" t="s">
        <v>25</v>
      </c>
      <c r="C52" s="16">
        <v>2024</v>
      </c>
      <c r="D52" s="16" t="s">
        <v>41</v>
      </c>
      <c r="E52" s="16" t="s">
        <v>27</v>
      </c>
      <c r="F52" s="16" t="s">
        <v>33</v>
      </c>
      <c r="G52" s="16">
        <v>60</v>
      </c>
      <c r="H52" s="16">
        <v>9575</v>
      </c>
      <c r="I52" s="16">
        <v>513.4</v>
      </c>
      <c r="J52" s="19">
        <v>0.67200000000000004</v>
      </c>
      <c r="K52" s="16">
        <v>90.6</v>
      </c>
      <c r="L52" s="19">
        <v>0.752</v>
      </c>
      <c r="M52" s="19">
        <v>4.3999999999999997E-2</v>
      </c>
      <c r="N52" s="21">
        <v>91509.7</v>
      </c>
      <c r="O52" s="21">
        <v>61843.99</v>
      </c>
      <c r="P52" s="26">
        <v>29665.71</v>
      </c>
    </row>
    <row r="53" spans="1:16" x14ac:dyDescent="0.3">
      <c r="A53" s="25">
        <v>52</v>
      </c>
      <c r="B53" s="16" t="s">
        <v>25</v>
      </c>
      <c r="C53" s="16">
        <v>2024</v>
      </c>
      <c r="D53" s="16" t="s">
        <v>41</v>
      </c>
      <c r="E53" s="16" t="s">
        <v>30</v>
      </c>
      <c r="F53" s="16" t="s">
        <v>33</v>
      </c>
      <c r="G53" s="16">
        <v>50</v>
      </c>
      <c r="H53" s="16">
        <v>7950</v>
      </c>
      <c r="I53" s="16">
        <v>483.5</v>
      </c>
      <c r="J53" s="19">
        <v>0.73099999999999998</v>
      </c>
      <c r="K53" s="16">
        <v>93.8</v>
      </c>
      <c r="L53" s="19">
        <v>0.92</v>
      </c>
      <c r="M53" s="19">
        <v>3.3000000000000002E-2</v>
      </c>
      <c r="N53" s="21">
        <v>85603.97</v>
      </c>
      <c r="O53" s="21">
        <v>55836.08</v>
      </c>
      <c r="P53" s="26">
        <v>29767.89</v>
      </c>
    </row>
    <row r="54" spans="1:16" x14ac:dyDescent="0.3">
      <c r="A54" s="25">
        <v>53</v>
      </c>
      <c r="B54" s="16" t="s">
        <v>25</v>
      </c>
      <c r="C54" s="16">
        <v>2024</v>
      </c>
      <c r="D54" s="16" t="s">
        <v>41</v>
      </c>
      <c r="E54" s="16" t="s">
        <v>35</v>
      </c>
      <c r="F54" s="16" t="s">
        <v>33</v>
      </c>
      <c r="G54" s="16">
        <v>49</v>
      </c>
      <c r="H54" s="16">
        <v>10614</v>
      </c>
      <c r="I54" s="16">
        <v>514.79999999999995</v>
      </c>
      <c r="J54" s="19">
        <v>0.72</v>
      </c>
      <c r="K54" s="16">
        <v>94</v>
      </c>
      <c r="L54" s="19">
        <v>0.77800000000000002</v>
      </c>
      <c r="M54" s="19">
        <v>2.5999999999999999E-2</v>
      </c>
      <c r="N54" s="21">
        <v>75905.23</v>
      </c>
      <c r="O54" s="21">
        <v>52680.41</v>
      </c>
      <c r="P54" s="26">
        <v>23224.82</v>
      </c>
    </row>
    <row r="55" spans="1:16" x14ac:dyDescent="0.3">
      <c r="A55" s="25">
        <v>54</v>
      </c>
      <c r="B55" s="16" t="s">
        <v>25</v>
      </c>
      <c r="C55" s="16">
        <v>2024</v>
      </c>
      <c r="D55" s="16" t="s">
        <v>41</v>
      </c>
      <c r="E55" s="16" t="s">
        <v>27</v>
      </c>
      <c r="F55" s="16" t="s">
        <v>36</v>
      </c>
      <c r="G55" s="16">
        <v>21</v>
      </c>
      <c r="H55" s="16">
        <v>3619</v>
      </c>
      <c r="I55" s="16">
        <v>890.4</v>
      </c>
      <c r="J55" s="19">
        <v>0.749</v>
      </c>
      <c r="K55" s="16">
        <v>91.5</v>
      </c>
      <c r="L55" s="19">
        <v>0.84699999999999998</v>
      </c>
      <c r="M55" s="19">
        <v>3.1E-2</v>
      </c>
      <c r="N55" s="21">
        <v>40302.92</v>
      </c>
      <c r="O55" s="21">
        <v>31048.29</v>
      </c>
      <c r="P55" s="26">
        <v>9254.6299999999992</v>
      </c>
    </row>
    <row r="56" spans="1:16" x14ac:dyDescent="0.3">
      <c r="A56" s="25">
        <v>55</v>
      </c>
      <c r="B56" s="16" t="s">
        <v>25</v>
      </c>
      <c r="C56" s="16">
        <v>2024</v>
      </c>
      <c r="D56" s="16" t="s">
        <v>41</v>
      </c>
      <c r="E56" s="16" t="s">
        <v>30</v>
      </c>
      <c r="F56" s="16" t="s">
        <v>36</v>
      </c>
      <c r="G56" s="16">
        <v>31</v>
      </c>
      <c r="H56" s="16">
        <v>5065</v>
      </c>
      <c r="I56" s="16">
        <v>920.4</v>
      </c>
      <c r="J56" s="19">
        <v>0.77500000000000002</v>
      </c>
      <c r="K56" s="16">
        <v>91.8</v>
      </c>
      <c r="L56" s="19">
        <v>0.871</v>
      </c>
      <c r="M56" s="19">
        <v>3.1E-2</v>
      </c>
      <c r="N56" s="21">
        <v>61872.52</v>
      </c>
      <c r="O56" s="21">
        <v>41446.89</v>
      </c>
      <c r="P56" s="26">
        <v>20425.63</v>
      </c>
    </row>
    <row r="57" spans="1:16" x14ac:dyDescent="0.3">
      <c r="A57" s="25">
        <v>56</v>
      </c>
      <c r="B57" s="16" t="s">
        <v>25</v>
      </c>
      <c r="C57" s="16">
        <v>2024</v>
      </c>
      <c r="D57" s="16" t="s">
        <v>41</v>
      </c>
      <c r="E57" s="16" t="s">
        <v>31</v>
      </c>
      <c r="F57" s="16" t="s">
        <v>36</v>
      </c>
      <c r="G57" s="16">
        <v>46</v>
      </c>
      <c r="H57" s="16">
        <v>7439</v>
      </c>
      <c r="I57" s="16">
        <v>919.2</v>
      </c>
      <c r="J57" s="19">
        <v>0.72</v>
      </c>
      <c r="K57" s="16">
        <v>92.2</v>
      </c>
      <c r="L57" s="19">
        <v>0.88400000000000001</v>
      </c>
      <c r="M57" s="19">
        <v>2.5000000000000001E-2</v>
      </c>
      <c r="N57" s="21">
        <v>71558.92</v>
      </c>
      <c r="O57" s="21">
        <v>53495.11</v>
      </c>
      <c r="P57" s="26">
        <v>18063.810000000001</v>
      </c>
    </row>
    <row r="58" spans="1:16" x14ac:dyDescent="0.3">
      <c r="A58" s="25">
        <v>57</v>
      </c>
      <c r="B58" s="16" t="s">
        <v>25</v>
      </c>
      <c r="C58" s="16">
        <v>2024</v>
      </c>
      <c r="D58" s="16" t="s">
        <v>41</v>
      </c>
      <c r="E58" s="16" t="s">
        <v>27</v>
      </c>
      <c r="F58" s="16" t="s">
        <v>37</v>
      </c>
      <c r="G58" s="16">
        <v>58</v>
      </c>
      <c r="H58" s="16">
        <v>11666</v>
      </c>
      <c r="I58" s="16">
        <v>676.5</v>
      </c>
      <c r="J58" s="19">
        <v>0.79300000000000004</v>
      </c>
      <c r="K58" s="16">
        <v>80.099999999999994</v>
      </c>
      <c r="L58" s="19">
        <v>0.79300000000000004</v>
      </c>
      <c r="M58" s="19">
        <v>1.7999999999999999E-2</v>
      </c>
      <c r="N58" s="21">
        <v>134286.89000000001</v>
      </c>
      <c r="O58" s="21">
        <v>93184.48</v>
      </c>
      <c r="P58" s="26">
        <v>41102.410000000003</v>
      </c>
    </row>
    <row r="59" spans="1:16" x14ac:dyDescent="0.3">
      <c r="A59" s="25">
        <v>58</v>
      </c>
      <c r="B59" s="16" t="s">
        <v>25</v>
      </c>
      <c r="C59" s="16">
        <v>2024</v>
      </c>
      <c r="D59" s="16" t="s">
        <v>41</v>
      </c>
      <c r="E59" s="16" t="s">
        <v>30</v>
      </c>
      <c r="F59" s="16" t="s">
        <v>37</v>
      </c>
      <c r="G59" s="16">
        <v>49</v>
      </c>
      <c r="H59" s="16">
        <v>7242</v>
      </c>
      <c r="I59" s="16">
        <v>757.8</v>
      </c>
      <c r="J59" s="19">
        <v>0.68799999999999994</v>
      </c>
      <c r="K59" s="16">
        <v>84.5</v>
      </c>
      <c r="L59" s="19">
        <v>0.92900000000000005</v>
      </c>
      <c r="M59" s="19">
        <v>3.6999999999999998E-2</v>
      </c>
      <c r="N59" s="21">
        <v>87784.47</v>
      </c>
      <c r="O59" s="21">
        <v>64359.9</v>
      </c>
      <c r="P59" s="26">
        <v>23424.57</v>
      </c>
    </row>
    <row r="60" spans="1:16" x14ac:dyDescent="0.3">
      <c r="A60" s="25">
        <v>59</v>
      </c>
      <c r="B60" s="16" t="s">
        <v>25</v>
      </c>
      <c r="C60" s="16">
        <v>2024</v>
      </c>
      <c r="D60" s="16" t="s">
        <v>41</v>
      </c>
      <c r="E60" s="16" t="s">
        <v>31</v>
      </c>
      <c r="F60" s="16" t="s">
        <v>37</v>
      </c>
      <c r="G60" s="16">
        <v>24</v>
      </c>
      <c r="H60" s="16">
        <v>5101</v>
      </c>
      <c r="I60" s="16">
        <v>667.4</v>
      </c>
      <c r="J60" s="19">
        <v>0.68600000000000005</v>
      </c>
      <c r="K60" s="16">
        <v>83.5</v>
      </c>
      <c r="L60" s="19">
        <v>1</v>
      </c>
      <c r="M60" s="19">
        <v>3.7999999999999999E-2</v>
      </c>
      <c r="N60" s="21">
        <v>44624.61</v>
      </c>
      <c r="O60" s="21">
        <v>30516.11</v>
      </c>
      <c r="P60" s="26">
        <v>14108.5</v>
      </c>
    </row>
    <row r="61" spans="1:16" x14ac:dyDescent="0.3">
      <c r="A61" s="25">
        <v>60</v>
      </c>
      <c r="B61" s="16" t="s">
        <v>42</v>
      </c>
      <c r="C61" s="16">
        <v>2024</v>
      </c>
      <c r="D61" s="16" t="s">
        <v>26</v>
      </c>
      <c r="E61" s="16" t="s">
        <v>27</v>
      </c>
      <c r="F61" s="16" t="s">
        <v>28</v>
      </c>
      <c r="G61" s="16">
        <v>57</v>
      </c>
      <c r="H61" s="16">
        <v>7315</v>
      </c>
      <c r="I61" s="16">
        <v>410.8</v>
      </c>
      <c r="J61" s="19">
        <v>0.81799999999999995</v>
      </c>
      <c r="K61" s="16">
        <v>88.4</v>
      </c>
      <c r="L61" s="19">
        <v>0.81</v>
      </c>
      <c r="M61" s="19">
        <v>0.02</v>
      </c>
      <c r="N61" s="21">
        <v>74346.16</v>
      </c>
      <c r="O61" s="21">
        <v>51476.56</v>
      </c>
      <c r="P61" s="26">
        <v>22869.599999999999</v>
      </c>
    </row>
    <row r="62" spans="1:16" x14ac:dyDescent="0.3">
      <c r="A62" s="25">
        <v>61</v>
      </c>
      <c r="B62" s="16" t="s">
        <v>42</v>
      </c>
      <c r="C62" s="16">
        <v>2024</v>
      </c>
      <c r="D62" s="16" t="s">
        <v>26</v>
      </c>
      <c r="E62" s="16" t="s">
        <v>32</v>
      </c>
      <c r="F62" s="16" t="s">
        <v>29</v>
      </c>
      <c r="G62" s="16">
        <v>61</v>
      </c>
      <c r="H62" s="16">
        <v>8484</v>
      </c>
      <c r="I62" s="16">
        <v>259.3</v>
      </c>
      <c r="J62" s="19">
        <v>0.68100000000000005</v>
      </c>
      <c r="K62" s="16">
        <v>75</v>
      </c>
      <c r="L62" s="19">
        <v>0.9</v>
      </c>
      <c r="M62" s="19">
        <v>2.5999999999999999E-2</v>
      </c>
      <c r="N62" s="21">
        <v>73970.2</v>
      </c>
      <c r="O62" s="21">
        <v>52908.04</v>
      </c>
      <c r="P62" s="26">
        <v>21062.16</v>
      </c>
    </row>
    <row r="63" spans="1:16" x14ac:dyDescent="0.3">
      <c r="A63" s="25">
        <v>62</v>
      </c>
      <c r="B63" s="16" t="s">
        <v>42</v>
      </c>
      <c r="C63" s="16">
        <v>2024</v>
      </c>
      <c r="D63" s="16" t="s">
        <v>26</v>
      </c>
      <c r="E63" s="16" t="s">
        <v>30</v>
      </c>
      <c r="F63" s="16" t="s">
        <v>29</v>
      </c>
      <c r="G63" s="16">
        <v>47</v>
      </c>
      <c r="H63" s="16">
        <v>8343</v>
      </c>
      <c r="I63" s="16">
        <v>277.10000000000002</v>
      </c>
      <c r="J63" s="19">
        <v>0.61699999999999999</v>
      </c>
      <c r="K63" s="16">
        <v>78.8</v>
      </c>
      <c r="L63" s="19">
        <v>0.85699999999999998</v>
      </c>
      <c r="M63" s="19">
        <v>2.3E-2</v>
      </c>
      <c r="N63" s="21">
        <v>52917.52</v>
      </c>
      <c r="O63" s="21">
        <v>39375.1</v>
      </c>
      <c r="P63" s="26">
        <v>13542.42</v>
      </c>
    </row>
    <row r="64" spans="1:16" x14ac:dyDescent="0.3">
      <c r="A64" s="25">
        <v>63</v>
      </c>
      <c r="B64" s="16" t="s">
        <v>42</v>
      </c>
      <c r="C64" s="16">
        <v>2024</v>
      </c>
      <c r="D64" s="16" t="s">
        <v>26</v>
      </c>
      <c r="E64" s="16" t="s">
        <v>27</v>
      </c>
      <c r="F64" s="16" t="s">
        <v>33</v>
      </c>
      <c r="G64" s="16">
        <v>39</v>
      </c>
      <c r="H64" s="16">
        <v>6723</v>
      </c>
      <c r="I64" s="16">
        <v>423.7</v>
      </c>
      <c r="J64" s="19">
        <v>0.69299999999999995</v>
      </c>
      <c r="K64" s="16">
        <v>78.400000000000006</v>
      </c>
      <c r="L64" s="19">
        <v>0.95599999999999996</v>
      </c>
      <c r="M64" s="19">
        <v>4.5999999999999999E-2</v>
      </c>
      <c r="N64" s="21">
        <v>55003.18</v>
      </c>
      <c r="O64" s="21">
        <v>34340.43</v>
      </c>
      <c r="P64" s="26">
        <v>20662.75</v>
      </c>
    </row>
    <row r="65" spans="1:16" x14ac:dyDescent="0.3">
      <c r="A65" s="25">
        <v>64</v>
      </c>
      <c r="B65" s="16" t="s">
        <v>42</v>
      </c>
      <c r="C65" s="16">
        <v>2024</v>
      </c>
      <c r="D65" s="16" t="s">
        <v>26</v>
      </c>
      <c r="E65" s="16" t="s">
        <v>31</v>
      </c>
      <c r="F65" s="16" t="s">
        <v>33</v>
      </c>
      <c r="G65" s="16">
        <v>37</v>
      </c>
      <c r="H65" s="16">
        <v>7098</v>
      </c>
      <c r="I65" s="16">
        <v>431.1</v>
      </c>
      <c r="J65" s="19">
        <v>0.78300000000000003</v>
      </c>
      <c r="K65" s="16">
        <v>82.8</v>
      </c>
      <c r="L65" s="19">
        <v>0.94299999999999995</v>
      </c>
      <c r="M65" s="19">
        <v>2.4E-2</v>
      </c>
      <c r="N65" s="21">
        <v>51412.800000000003</v>
      </c>
      <c r="O65" s="21">
        <v>38705.360000000001</v>
      </c>
      <c r="P65" s="26">
        <v>12707.44</v>
      </c>
    </row>
    <row r="66" spans="1:16" x14ac:dyDescent="0.3">
      <c r="A66" s="25">
        <v>65</v>
      </c>
      <c r="B66" s="16" t="s">
        <v>42</v>
      </c>
      <c r="C66" s="16">
        <v>2024</v>
      </c>
      <c r="D66" s="16" t="s">
        <v>26</v>
      </c>
      <c r="E66" s="16" t="s">
        <v>32</v>
      </c>
      <c r="F66" s="16" t="s">
        <v>36</v>
      </c>
      <c r="G66" s="16">
        <v>35</v>
      </c>
      <c r="H66" s="16">
        <v>5586</v>
      </c>
      <c r="I66" s="16">
        <v>833.2</v>
      </c>
      <c r="J66" s="19">
        <v>0.80600000000000005</v>
      </c>
      <c r="K66" s="16">
        <v>76.8</v>
      </c>
      <c r="L66" s="19">
        <v>0.97899999999999998</v>
      </c>
      <c r="M66" s="19">
        <v>0.02</v>
      </c>
      <c r="N66" s="21">
        <v>35637.910000000003</v>
      </c>
      <c r="O66" s="21">
        <v>23624.02</v>
      </c>
      <c r="P66" s="26">
        <v>12013.89</v>
      </c>
    </row>
    <row r="67" spans="1:16" x14ac:dyDescent="0.3">
      <c r="A67" s="25">
        <v>66</v>
      </c>
      <c r="B67" s="16" t="s">
        <v>42</v>
      </c>
      <c r="C67" s="16">
        <v>2024</v>
      </c>
      <c r="D67" s="16" t="s">
        <v>26</v>
      </c>
      <c r="E67" s="16" t="s">
        <v>27</v>
      </c>
      <c r="F67" s="16" t="s">
        <v>36</v>
      </c>
      <c r="G67" s="16">
        <v>63</v>
      </c>
      <c r="H67" s="16">
        <v>8300</v>
      </c>
      <c r="I67" s="16">
        <v>829.9</v>
      </c>
      <c r="J67" s="19">
        <v>0.66700000000000004</v>
      </c>
      <c r="K67" s="16">
        <v>87.9</v>
      </c>
      <c r="L67" s="19">
        <v>0.88</v>
      </c>
      <c r="M67" s="19">
        <v>2.8000000000000001E-2</v>
      </c>
      <c r="N67" s="21">
        <v>87272.29</v>
      </c>
      <c r="O67" s="21">
        <v>54422.57</v>
      </c>
      <c r="P67" s="26">
        <v>32849.72</v>
      </c>
    </row>
    <row r="68" spans="1:16" x14ac:dyDescent="0.3">
      <c r="A68" s="25">
        <v>67</v>
      </c>
      <c r="B68" s="16" t="s">
        <v>42</v>
      </c>
      <c r="C68" s="16">
        <v>2024</v>
      </c>
      <c r="D68" s="16" t="s">
        <v>26</v>
      </c>
      <c r="E68" s="16" t="s">
        <v>31</v>
      </c>
      <c r="F68" s="16" t="s">
        <v>36</v>
      </c>
      <c r="G68" s="16">
        <v>35</v>
      </c>
      <c r="H68" s="16">
        <v>5996</v>
      </c>
      <c r="I68" s="16">
        <v>848.5</v>
      </c>
      <c r="J68" s="19">
        <v>0.70599999999999996</v>
      </c>
      <c r="K68" s="16">
        <v>74.900000000000006</v>
      </c>
      <c r="L68" s="19">
        <v>1</v>
      </c>
      <c r="M68" s="19">
        <v>3.4000000000000002E-2</v>
      </c>
      <c r="N68" s="21">
        <v>46775.34</v>
      </c>
      <c r="O68" s="21">
        <v>35210.54</v>
      </c>
      <c r="P68" s="26">
        <v>11564.8</v>
      </c>
    </row>
    <row r="69" spans="1:16" x14ac:dyDescent="0.3">
      <c r="A69" s="25">
        <v>68</v>
      </c>
      <c r="B69" s="16" t="s">
        <v>42</v>
      </c>
      <c r="C69" s="16">
        <v>2024</v>
      </c>
      <c r="D69" s="16" t="s">
        <v>26</v>
      </c>
      <c r="E69" s="16" t="s">
        <v>30</v>
      </c>
      <c r="F69" s="16" t="s">
        <v>37</v>
      </c>
      <c r="G69" s="16">
        <v>48</v>
      </c>
      <c r="H69" s="16">
        <v>9743</v>
      </c>
      <c r="I69" s="16">
        <v>726.6</v>
      </c>
      <c r="J69" s="19">
        <v>0.74099999999999999</v>
      </c>
      <c r="K69" s="16">
        <v>70.8</v>
      </c>
      <c r="L69" s="19">
        <v>0.86299999999999999</v>
      </c>
      <c r="M69" s="19">
        <v>1.4999999999999999E-2</v>
      </c>
      <c r="N69" s="21">
        <v>60668.36</v>
      </c>
      <c r="O69" s="21">
        <v>39228.49</v>
      </c>
      <c r="P69" s="26">
        <v>21439.87</v>
      </c>
    </row>
    <row r="70" spans="1:16" x14ac:dyDescent="0.3">
      <c r="A70" s="25">
        <v>69</v>
      </c>
      <c r="B70" s="16" t="s">
        <v>42</v>
      </c>
      <c r="C70" s="16">
        <v>2024</v>
      </c>
      <c r="D70" s="16" t="s">
        <v>26</v>
      </c>
      <c r="E70" s="16" t="s">
        <v>34</v>
      </c>
      <c r="F70" s="16" t="s">
        <v>37</v>
      </c>
      <c r="G70" s="16">
        <v>47</v>
      </c>
      <c r="H70" s="16">
        <v>7694</v>
      </c>
      <c r="I70" s="16">
        <v>635.5</v>
      </c>
      <c r="J70" s="19">
        <v>0.59599999999999997</v>
      </c>
      <c r="K70" s="16">
        <v>75.400000000000006</v>
      </c>
      <c r="L70" s="19">
        <v>0.84099999999999997</v>
      </c>
      <c r="M70" s="19">
        <v>1.4E-2</v>
      </c>
      <c r="N70" s="21">
        <v>58250.73</v>
      </c>
      <c r="O70" s="21">
        <v>41394.410000000003</v>
      </c>
      <c r="P70" s="26">
        <v>16856.32</v>
      </c>
    </row>
    <row r="71" spans="1:16" x14ac:dyDescent="0.3">
      <c r="A71" s="25">
        <v>70</v>
      </c>
      <c r="B71" s="16" t="s">
        <v>42</v>
      </c>
      <c r="C71" s="16">
        <v>2024</v>
      </c>
      <c r="D71" s="16" t="s">
        <v>26</v>
      </c>
      <c r="E71" s="16" t="s">
        <v>35</v>
      </c>
      <c r="F71" s="16" t="s">
        <v>37</v>
      </c>
      <c r="G71" s="16">
        <v>46</v>
      </c>
      <c r="H71" s="16">
        <v>8502</v>
      </c>
      <c r="I71" s="16">
        <v>684.3</v>
      </c>
      <c r="J71" s="19">
        <v>0.58899999999999997</v>
      </c>
      <c r="K71" s="16">
        <v>80</v>
      </c>
      <c r="L71" s="19">
        <v>0.79900000000000004</v>
      </c>
      <c r="M71" s="19">
        <v>2.1000000000000001E-2</v>
      </c>
      <c r="N71" s="21">
        <v>56132.83</v>
      </c>
      <c r="O71" s="21">
        <v>41726.11</v>
      </c>
      <c r="P71" s="26">
        <v>14406.72</v>
      </c>
    </row>
    <row r="72" spans="1:16" x14ac:dyDescent="0.3">
      <c r="A72" s="25">
        <v>71</v>
      </c>
      <c r="B72" s="16" t="s">
        <v>42</v>
      </c>
      <c r="C72" s="16">
        <v>2024</v>
      </c>
      <c r="D72" s="16" t="s">
        <v>38</v>
      </c>
      <c r="E72" s="16" t="s">
        <v>30</v>
      </c>
      <c r="F72" s="16" t="s">
        <v>28</v>
      </c>
      <c r="G72" s="16">
        <v>74</v>
      </c>
      <c r="H72" s="16">
        <v>13299</v>
      </c>
      <c r="I72" s="16">
        <v>357.7</v>
      </c>
      <c r="J72" s="19">
        <v>0.75600000000000001</v>
      </c>
      <c r="K72" s="16">
        <v>86.5</v>
      </c>
      <c r="L72" s="19">
        <v>0.83499999999999996</v>
      </c>
      <c r="M72" s="19">
        <v>3.6999999999999998E-2</v>
      </c>
      <c r="N72" s="21">
        <v>116221.59</v>
      </c>
      <c r="O72" s="21">
        <v>83032.990000000005</v>
      </c>
      <c r="P72" s="26">
        <v>33188.6</v>
      </c>
    </row>
    <row r="73" spans="1:16" x14ac:dyDescent="0.3">
      <c r="A73" s="25">
        <v>72</v>
      </c>
      <c r="B73" s="16" t="s">
        <v>42</v>
      </c>
      <c r="C73" s="16">
        <v>2024</v>
      </c>
      <c r="D73" s="16" t="s">
        <v>38</v>
      </c>
      <c r="E73" s="16" t="s">
        <v>35</v>
      </c>
      <c r="F73" s="16" t="s">
        <v>28</v>
      </c>
      <c r="G73" s="16">
        <v>25</v>
      </c>
      <c r="H73" s="16">
        <v>4391</v>
      </c>
      <c r="I73" s="16">
        <v>462.6</v>
      </c>
      <c r="J73" s="19">
        <v>0.78700000000000003</v>
      </c>
      <c r="K73" s="16">
        <v>88.1</v>
      </c>
      <c r="L73" s="19">
        <v>0.97699999999999998</v>
      </c>
      <c r="M73" s="19">
        <v>3.7999999999999999E-2</v>
      </c>
      <c r="N73" s="21">
        <v>41073.46</v>
      </c>
      <c r="O73" s="21">
        <v>31046.25</v>
      </c>
      <c r="P73" s="26">
        <v>10027.209999999999</v>
      </c>
    </row>
    <row r="74" spans="1:16" x14ac:dyDescent="0.3">
      <c r="A74" s="25">
        <v>73</v>
      </c>
      <c r="B74" s="16" t="s">
        <v>42</v>
      </c>
      <c r="C74" s="16">
        <v>2024</v>
      </c>
      <c r="D74" s="16" t="s">
        <v>38</v>
      </c>
      <c r="E74" s="16" t="s">
        <v>34</v>
      </c>
      <c r="F74" s="16" t="s">
        <v>29</v>
      </c>
      <c r="G74" s="16">
        <v>51</v>
      </c>
      <c r="H74" s="16">
        <v>9459</v>
      </c>
      <c r="I74" s="16">
        <v>310.89999999999998</v>
      </c>
      <c r="J74" s="19">
        <v>0.57299999999999995</v>
      </c>
      <c r="K74" s="16">
        <v>75.599999999999994</v>
      </c>
      <c r="L74" s="19">
        <v>0.89800000000000002</v>
      </c>
      <c r="M74" s="19">
        <v>4.2999999999999997E-2</v>
      </c>
      <c r="N74" s="21">
        <v>64261.07</v>
      </c>
      <c r="O74" s="21">
        <v>48705.19</v>
      </c>
      <c r="P74" s="26">
        <v>15555.88</v>
      </c>
    </row>
    <row r="75" spans="1:16" x14ac:dyDescent="0.3">
      <c r="A75" s="25">
        <v>74</v>
      </c>
      <c r="B75" s="16" t="s">
        <v>42</v>
      </c>
      <c r="C75" s="16">
        <v>2024</v>
      </c>
      <c r="D75" s="16" t="s">
        <v>38</v>
      </c>
      <c r="E75" s="16" t="s">
        <v>31</v>
      </c>
      <c r="F75" s="16" t="s">
        <v>29</v>
      </c>
      <c r="G75" s="16">
        <v>59</v>
      </c>
      <c r="H75" s="16">
        <v>9978</v>
      </c>
      <c r="I75" s="16">
        <v>303.8</v>
      </c>
      <c r="J75" s="19">
        <v>0.622</v>
      </c>
      <c r="K75" s="16">
        <v>78.8</v>
      </c>
      <c r="L75" s="19">
        <v>0.91300000000000003</v>
      </c>
      <c r="M75" s="19">
        <v>2.9000000000000001E-2</v>
      </c>
      <c r="N75" s="21">
        <v>67136.81</v>
      </c>
      <c r="O75" s="21">
        <v>45275.72</v>
      </c>
      <c r="P75" s="26">
        <v>21861.09</v>
      </c>
    </row>
    <row r="76" spans="1:16" x14ac:dyDescent="0.3">
      <c r="A76" s="25">
        <v>75</v>
      </c>
      <c r="B76" s="16" t="s">
        <v>42</v>
      </c>
      <c r="C76" s="16">
        <v>2024</v>
      </c>
      <c r="D76" s="16" t="s">
        <v>38</v>
      </c>
      <c r="E76" s="16" t="s">
        <v>35</v>
      </c>
      <c r="F76" s="16" t="s">
        <v>29</v>
      </c>
      <c r="G76" s="16">
        <v>42</v>
      </c>
      <c r="H76" s="16">
        <v>7175</v>
      </c>
      <c r="I76" s="16">
        <v>357.9</v>
      </c>
      <c r="J76" s="19">
        <v>0.66200000000000003</v>
      </c>
      <c r="K76" s="16">
        <v>86.2</v>
      </c>
      <c r="L76" s="19">
        <v>0.91600000000000004</v>
      </c>
      <c r="M76" s="19">
        <v>1.7000000000000001E-2</v>
      </c>
      <c r="N76" s="21">
        <v>59790.47</v>
      </c>
      <c r="O76" s="21">
        <v>39298.69</v>
      </c>
      <c r="P76" s="26">
        <v>20491.78</v>
      </c>
    </row>
    <row r="77" spans="1:16" x14ac:dyDescent="0.3">
      <c r="A77" s="25">
        <v>76</v>
      </c>
      <c r="B77" s="16" t="s">
        <v>42</v>
      </c>
      <c r="C77" s="16">
        <v>2024</v>
      </c>
      <c r="D77" s="16" t="s">
        <v>38</v>
      </c>
      <c r="E77" s="16" t="s">
        <v>27</v>
      </c>
      <c r="F77" s="16" t="s">
        <v>33</v>
      </c>
      <c r="G77" s="16">
        <v>55</v>
      </c>
      <c r="H77" s="16">
        <v>10001</v>
      </c>
      <c r="I77" s="16">
        <v>528.9</v>
      </c>
      <c r="J77" s="19">
        <v>0.69899999999999995</v>
      </c>
      <c r="K77" s="16">
        <v>83.5</v>
      </c>
      <c r="L77" s="19">
        <v>0.95499999999999996</v>
      </c>
      <c r="M77" s="19">
        <v>7.0000000000000001E-3</v>
      </c>
      <c r="N77" s="21">
        <v>75631.08</v>
      </c>
      <c r="O77" s="21">
        <v>58799.64</v>
      </c>
      <c r="P77" s="26">
        <v>16831.439999999999</v>
      </c>
    </row>
    <row r="78" spans="1:16" x14ac:dyDescent="0.3">
      <c r="A78" s="25">
        <v>77</v>
      </c>
      <c r="B78" s="16" t="s">
        <v>42</v>
      </c>
      <c r="C78" s="16">
        <v>2024</v>
      </c>
      <c r="D78" s="16" t="s">
        <v>38</v>
      </c>
      <c r="E78" s="16" t="s">
        <v>30</v>
      </c>
      <c r="F78" s="16" t="s">
        <v>33</v>
      </c>
      <c r="G78" s="16">
        <v>19</v>
      </c>
      <c r="H78" s="16">
        <v>2679</v>
      </c>
      <c r="I78" s="16">
        <v>445.1</v>
      </c>
      <c r="J78" s="19">
        <v>0.78800000000000003</v>
      </c>
      <c r="K78" s="16">
        <v>84.5</v>
      </c>
      <c r="L78" s="19">
        <v>0.84</v>
      </c>
      <c r="M78" s="19">
        <v>2.4E-2</v>
      </c>
      <c r="N78" s="21">
        <v>23368.46</v>
      </c>
      <c r="O78" s="21">
        <v>15361.89</v>
      </c>
      <c r="P78" s="26">
        <v>8006.57</v>
      </c>
    </row>
    <row r="79" spans="1:16" x14ac:dyDescent="0.3">
      <c r="A79" s="25">
        <v>78</v>
      </c>
      <c r="B79" s="16" t="s">
        <v>42</v>
      </c>
      <c r="C79" s="16">
        <v>2024</v>
      </c>
      <c r="D79" s="16" t="s">
        <v>38</v>
      </c>
      <c r="E79" s="16" t="s">
        <v>35</v>
      </c>
      <c r="F79" s="16" t="s">
        <v>33</v>
      </c>
      <c r="G79" s="16">
        <v>15</v>
      </c>
      <c r="H79" s="16">
        <v>2302</v>
      </c>
      <c r="I79" s="16">
        <v>437.2</v>
      </c>
      <c r="J79" s="19">
        <v>0.78100000000000003</v>
      </c>
      <c r="K79" s="16">
        <v>85.2</v>
      </c>
      <c r="L79" s="19">
        <v>1</v>
      </c>
      <c r="M79" s="19">
        <v>2.4E-2</v>
      </c>
      <c r="N79" s="21">
        <v>19465.32</v>
      </c>
      <c r="O79" s="21">
        <v>12588.72</v>
      </c>
      <c r="P79" s="26">
        <v>6876.6</v>
      </c>
    </row>
    <row r="80" spans="1:16" x14ac:dyDescent="0.3">
      <c r="A80" s="25">
        <v>79</v>
      </c>
      <c r="B80" s="16" t="s">
        <v>42</v>
      </c>
      <c r="C80" s="16">
        <v>2024</v>
      </c>
      <c r="D80" s="16" t="s">
        <v>38</v>
      </c>
      <c r="E80" s="16" t="s">
        <v>32</v>
      </c>
      <c r="F80" s="16" t="s">
        <v>36</v>
      </c>
      <c r="G80" s="16">
        <v>62</v>
      </c>
      <c r="H80" s="16">
        <v>13479</v>
      </c>
      <c r="I80" s="16">
        <v>837.2</v>
      </c>
      <c r="J80" s="19">
        <v>0.70399999999999996</v>
      </c>
      <c r="K80" s="16">
        <v>82.4</v>
      </c>
      <c r="L80" s="19">
        <v>0.93300000000000005</v>
      </c>
      <c r="M80" s="19">
        <v>2.5999999999999999E-2</v>
      </c>
      <c r="N80" s="21">
        <v>75221.100000000006</v>
      </c>
      <c r="O80" s="21">
        <v>50850.97</v>
      </c>
      <c r="P80" s="26">
        <v>24370.13</v>
      </c>
    </row>
    <row r="81" spans="1:16" x14ac:dyDescent="0.3">
      <c r="A81" s="25">
        <v>80</v>
      </c>
      <c r="B81" s="16" t="s">
        <v>42</v>
      </c>
      <c r="C81" s="16">
        <v>2024</v>
      </c>
      <c r="D81" s="16" t="s">
        <v>38</v>
      </c>
      <c r="E81" s="16" t="s">
        <v>30</v>
      </c>
      <c r="F81" s="16" t="s">
        <v>36</v>
      </c>
      <c r="G81" s="16">
        <v>66</v>
      </c>
      <c r="H81" s="16">
        <v>11080</v>
      </c>
      <c r="I81" s="16">
        <v>866.7</v>
      </c>
      <c r="J81" s="19">
        <v>0.72799999999999998</v>
      </c>
      <c r="K81" s="16">
        <v>82.2</v>
      </c>
      <c r="L81" s="19">
        <v>0.91200000000000003</v>
      </c>
      <c r="M81" s="19">
        <v>3.7999999999999999E-2</v>
      </c>
      <c r="N81" s="21">
        <v>71067.820000000007</v>
      </c>
      <c r="O81" s="21">
        <v>50804.28</v>
      </c>
      <c r="P81" s="26">
        <v>20263.54</v>
      </c>
    </row>
    <row r="82" spans="1:16" x14ac:dyDescent="0.3">
      <c r="A82" s="25">
        <v>81</v>
      </c>
      <c r="B82" s="16" t="s">
        <v>42</v>
      </c>
      <c r="C82" s="16">
        <v>2024</v>
      </c>
      <c r="D82" s="16" t="s">
        <v>38</v>
      </c>
      <c r="E82" s="16" t="s">
        <v>34</v>
      </c>
      <c r="F82" s="16" t="s">
        <v>36</v>
      </c>
      <c r="G82" s="16">
        <v>35</v>
      </c>
      <c r="H82" s="16">
        <v>6020</v>
      </c>
      <c r="I82" s="16">
        <v>911.4</v>
      </c>
      <c r="J82" s="19">
        <v>0.72</v>
      </c>
      <c r="K82" s="16">
        <v>88.3</v>
      </c>
      <c r="L82" s="19">
        <v>0.88900000000000001</v>
      </c>
      <c r="M82" s="19">
        <v>5.1999999999999998E-2</v>
      </c>
      <c r="N82" s="21">
        <v>41996.92</v>
      </c>
      <c r="O82" s="21">
        <v>28542.37</v>
      </c>
      <c r="P82" s="26">
        <v>13454.55</v>
      </c>
    </row>
    <row r="83" spans="1:16" x14ac:dyDescent="0.3">
      <c r="A83" s="25">
        <v>82</v>
      </c>
      <c r="B83" s="16" t="s">
        <v>42</v>
      </c>
      <c r="C83" s="16">
        <v>2024</v>
      </c>
      <c r="D83" s="16" t="s">
        <v>38</v>
      </c>
      <c r="E83" s="16" t="s">
        <v>35</v>
      </c>
      <c r="F83" s="16" t="s">
        <v>36</v>
      </c>
      <c r="G83" s="16">
        <v>32</v>
      </c>
      <c r="H83" s="16">
        <v>5779</v>
      </c>
      <c r="I83" s="16">
        <v>927.8</v>
      </c>
      <c r="J83" s="19">
        <v>0.63600000000000001</v>
      </c>
      <c r="K83" s="16">
        <v>67.599999999999994</v>
      </c>
      <c r="L83" s="19">
        <v>0.97199999999999998</v>
      </c>
      <c r="M83" s="19">
        <v>2.3E-2</v>
      </c>
      <c r="N83" s="21">
        <v>41402.1</v>
      </c>
      <c r="O83" s="21">
        <v>27973.31</v>
      </c>
      <c r="P83" s="26">
        <v>13428.79</v>
      </c>
    </row>
    <row r="84" spans="1:16" x14ac:dyDescent="0.3">
      <c r="A84" s="25">
        <v>83</v>
      </c>
      <c r="B84" s="16" t="s">
        <v>42</v>
      </c>
      <c r="C84" s="16">
        <v>2024</v>
      </c>
      <c r="D84" s="16" t="s">
        <v>38</v>
      </c>
      <c r="E84" s="16" t="s">
        <v>32</v>
      </c>
      <c r="F84" s="16" t="s">
        <v>37</v>
      </c>
      <c r="G84" s="16">
        <v>20</v>
      </c>
      <c r="H84" s="16">
        <v>3824</v>
      </c>
      <c r="I84" s="16">
        <v>669.6</v>
      </c>
      <c r="J84" s="19">
        <v>0.69799999999999995</v>
      </c>
      <c r="K84" s="16">
        <v>86.7</v>
      </c>
      <c r="L84" s="19">
        <v>0.92400000000000004</v>
      </c>
      <c r="M84" s="19">
        <v>3.5999999999999997E-2</v>
      </c>
      <c r="N84" s="21">
        <v>28925.73</v>
      </c>
      <c r="O84" s="21">
        <v>21807.75</v>
      </c>
      <c r="P84" s="26">
        <v>7117.98</v>
      </c>
    </row>
    <row r="85" spans="1:16" x14ac:dyDescent="0.3">
      <c r="A85" s="25">
        <v>84</v>
      </c>
      <c r="B85" s="16" t="s">
        <v>42</v>
      </c>
      <c r="C85" s="16">
        <v>2024</v>
      </c>
      <c r="D85" s="16" t="s">
        <v>38</v>
      </c>
      <c r="E85" s="16" t="s">
        <v>27</v>
      </c>
      <c r="F85" s="16" t="s">
        <v>37</v>
      </c>
      <c r="G85" s="16">
        <v>60</v>
      </c>
      <c r="H85" s="16">
        <v>12923</v>
      </c>
      <c r="I85" s="16">
        <v>634</v>
      </c>
      <c r="J85" s="19">
        <v>0.70899999999999996</v>
      </c>
      <c r="K85" s="16">
        <v>80.099999999999994</v>
      </c>
      <c r="L85" s="19">
        <v>0.85899999999999999</v>
      </c>
      <c r="M85" s="19">
        <v>2.4E-2</v>
      </c>
      <c r="N85" s="21">
        <v>85292.37</v>
      </c>
      <c r="O85" s="21">
        <v>64043.88</v>
      </c>
      <c r="P85" s="26">
        <v>21248.49</v>
      </c>
    </row>
    <row r="86" spans="1:16" x14ac:dyDescent="0.3">
      <c r="A86" s="25">
        <v>85</v>
      </c>
      <c r="B86" s="16" t="s">
        <v>42</v>
      </c>
      <c r="C86" s="16">
        <v>2024</v>
      </c>
      <c r="D86" s="16" t="s">
        <v>38</v>
      </c>
      <c r="E86" s="16" t="s">
        <v>30</v>
      </c>
      <c r="F86" s="16" t="s">
        <v>37</v>
      </c>
      <c r="G86" s="16">
        <v>41</v>
      </c>
      <c r="H86" s="16">
        <v>7415</v>
      </c>
      <c r="I86" s="16">
        <v>692.7</v>
      </c>
      <c r="J86" s="19">
        <v>0.59099999999999997</v>
      </c>
      <c r="K86" s="16">
        <v>82.1</v>
      </c>
      <c r="L86" s="19">
        <v>0.94499999999999995</v>
      </c>
      <c r="M86" s="19">
        <v>3.3000000000000002E-2</v>
      </c>
      <c r="N86" s="21">
        <v>39326.199999999997</v>
      </c>
      <c r="O86" s="21">
        <v>27779.94</v>
      </c>
      <c r="P86" s="26">
        <v>11546.26</v>
      </c>
    </row>
    <row r="87" spans="1:16" x14ac:dyDescent="0.3">
      <c r="A87" s="25">
        <v>86</v>
      </c>
      <c r="B87" s="16" t="s">
        <v>42</v>
      </c>
      <c r="C87" s="16">
        <v>2024</v>
      </c>
      <c r="D87" s="16" t="s">
        <v>38</v>
      </c>
      <c r="E87" s="16" t="s">
        <v>34</v>
      </c>
      <c r="F87" s="16" t="s">
        <v>37</v>
      </c>
      <c r="G87" s="16">
        <v>48</v>
      </c>
      <c r="H87" s="16">
        <v>8242</v>
      </c>
      <c r="I87" s="16">
        <v>681.5</v>
      </c>
      <c r="J87" s="19">
        <v>0.68300000000000005</v>
      </c>
      <c r="K87" s="16">
        <v>88</v>
      </c>
      <c r="L87" s="19">
        <v>0.91100000000000003</v>
      </c>
      <c r="M87" s="19">
        <v>1.7999999999999999E-2</v>
      </c>
      <c r="N87" s="21">
        <v>65744.210000000006</v>
      </c>
      <c r="O87" s="21">
        <v>41474.99</v>
      </c>
      <c r="P87" s="26">
        <v>24269.22</v>
      </c>
    </row>
    <row r="88" spans="1:16" x14ac:dyDescent="0.3">
      <c r="A88" s="25">
        <v>87</v>
      </c>
      <c r="B88" s="16" t="s">
        <v>42</v>
      </c>
      <c r="C88" s="16">
        <v>2024</v>
      </c>
      <c r="D88" s="16" t="s">
        <v>38</v>
      </c>
      <c r="E88" s="16" t="s">
        <v>35</v>
      </c>
      <c r="F88" s="16" t="s">
        <v>37</v>
      </c>
      <c r="G88" s="16">
        <v>46</v>
      </c>
      <c r="H88" s="16">
        <v>7588</v>
      </c>
      <c r="I88" s="16">
        <v>707.8</v>
      </c>
      <c r="J88" s="19">
        <v>0.58899999999999997</v>
      </c>
      <c r="K88" s="16">
        <v>79.2</v>
      </c>
      <c r="L88" s="19">
        <v>0.99399999999999999</v>
      </c>
      <c r="M88" s="19">
        <v>3.5999999999999997E-2</v>
      </c>
      <c r="N88" s="21">
        <v>53472.56</v>
      </c>
      <c r="O88" s="21">
        <v>38999</v>
      </c>
      <c r="P88" s="26">
        <v>14473.56</v>
      </c>
    </row>
    <row r="89" spans="1:16" x14ac:dyDescent="0.3">
      <c r="A89" s="25">
        <v>88</v>
      </c>
      <c r="B89" s="16" t="s">
        <v>42</v>
      </c>
      <c r="C89" s="16">
        <v>2024</v>
      </c>
      <c r="D89" s="16" t="s">
        <v>39</v>
      </c>
      <c r="E89" s="16" t="s">
        <v>30</v>
      </c>
      <c r="F89" s="16" t="s">
        <v>28</v>
      </c>
      <c r="G89" s="16">
        <v>23</v>
      </c>
      <c r="H89" s="16">
        <v>3015</v>
      </c>
      <c r="I89" s="16">
        <v>437.6</v>
      </c>
      <c r="J89" s="19">
        <v>0.75</v>
      </c>
      <c r="K89" s="16">
        <v>75.900000000000006</v>
      </c>
      <c r="L89" s="19">
        <v>0.91500000000000004</v>
      </c>
      <c r="M89" s="19">
        <v>3.6999999999999998E-2</v>
      </c>
      <c r="N89" s="21">
        <v>31874.37</v>
      </c>
      <c r="O89" s="21">
        <v>23100.05</v>
      </c>
      <c r="P89" s="26">
        <v>8774.32</v>
      </c>
    </row>
    <row r="90" spans="1:16" x14ac:dyDescent="0.3">
      <c r="A90" s="25">
        <v>89</v>
      </c>
      <c r="B90" s="16" t="s">
        <v>42</v>
      </c>
      <c r="C90" s="16">
        <v>2024</v>
      </c>
      <c r="D90" s="16" t="s">
        <v>39</v>
      </c>
      <c r="E90" s="16" t="s">
        <v>31</v>
      </c>
      <c r="F90" s="16" t="s">
        <v>28</v>
      </c>
      <c r="G90" s="16">
        <v>41</v>
      </c>
      <c r="H90" s="16">
        <v>6349</v>
      </c>
      <c r="I90" s="16">
        <v>415.4</v>
      </c>
      <c r="J90" s="19">
        <v>0.81799999999999995</v>
      </c>
      <c r="K90" s="16">
        <v>74.900000000000006</v>
      </c>
      <c r="L90" s="19">
        <v>0.95399999999999996</v>
      </c>
      <c r="M90" s="19">
        <v>4.7E-2</v>
      </c>
      <c r="N90" s="21">
        <v>63701.73</v>
      </c>
      <c r="O90" s="21">
        <v>41838.83</v>
      </c>
      <c r="P90" s="26">
        <v>21862.9</v>
      </c>
    </row>
    <row r="91" spans="1:16" x14ac:dyDescent="0.3">
      <c r="A91" s="25">
        <v>90</v>
      </c>
      <c r="B91" s="16" t="s">
        <v>42</v>
      </c>
      <c r="C91" s="16">
        <v>2024</v>
      </c>
      <c r="D91" s="16" t="s">
        <v>39</v>
      </c>
      <c r="E91" s="16" t="s">
        <v>27</v>
      </c>
      <c r="F91" s="16" t="s">
        <v>29</v>
      </c>
      <c r="G91" s="16">
        <v>59</v>
      </c>
      <c r="H91" s="16">
        <v>10209</v>
      </c>
      <c r="I91" s="16">
        <v>320.2</v>
      </c>
      <c r="J91" s="19">
        <v>0.64800000000000002</v>
      </c>
      <c r="K91" s="16">
        <v>79.3</v>
      </c>
      <c r="L91" s="19">
        <v>0.94199999999999995</v>
      </c>
      <c r="M91" s="19">
        <v>2.8000000000000001E-2</v>
      </c>
      <c r="N91" s="21">
        <v>87887.83</v>
      </c>
      <c r="O91" s="21">
        <v>66369.84</v>
      </c>
      <c r="P91" s="26">
        <v>21517.99</v>
      </c>
    </row>
    <row r="92" spans="1:16" x14ac:dyDescent="0.3">
      <c r="A92" s="25">
        <v>91</v>
      </c>
      <c r="B92" s="16" t="s">
        <v>42</v>
      </c>
      <c r="C92" s="16">
        <v>2024</v>
      </c>
      <c r="D92" s="16" t="s">
        <v>39</v>
      </c>
      <c r="E92" s="16" t="s">
        <v>30</v>
      </c>
      <c r="F92" s="16" t="s">
        <v>29</v>
      </c>
      <c r="G92" s="16">
        <v>30</v>
      </c>
      <c r="H92" s="16">
        <v>5642</v>
      </c>
      <c r="I92" s="16">
        <v>350</v>
      </c>
      <c r="J92" s="19">
        <v>0.67900000000000005</v>
      </c>
      <c r="K92" s="16">
        <v>72.8</v>
      </c>
      <c r="L92" s="19">
        <v>0.92200000000000004</v>
      </c>
      <c r="M92" s="19">
        <v>0.03</v>
      </c>
      <c r="N92" s="21">
        <v>37679.99</v>
      </c>
      <c r="O92" s="21">
        <v>25955.82</v>
      </c>
      <c r="P92" s="26">
        <v>11724.17</v>
      </c>
    </row>
    <row r="93" spans="1:16" x14ac:dyDescent="0.3">
      <c r="A93" s="25">
        <v>92</v>
      </c>
      <c r="B93" s="16" t="s">
        <v>42</v>
      </c>
      <c r="C93" s="16">
        <v>2024</v>
      </c>
      <c r="D93" s="16" t="s">
        <v>39</v>
      </c>
      <c r="E93" s="16" t="s">
        <v>32</v>
      </c>
      <c r="F93" s="16" t="s">
        <v>33</v>
      </c>
      <c r="G93" s="16">
        <v>57</v>
      </c>
      <c r="H93" s="16">
        <v>9464</v>
      </c>
      <c r="I93" s="16">
        <v>462.2</v>
      </c>
      <c r="J93" s="19">
        <v>0.627</v>
      </c>
      <c r="K93" s="16">
        <v>80.7</v>
      </c>
      <c r="L93" s="19">
        <v>0.80500000000000005</v>
      </c>
      <c r="M93" s="19">
        <v>6.0000000000000001E-3</v>
      </c>
      <c r="N93" s="21">
        <v>83361.279999999999</v>
      </c>
      <c r="O93" s="21">
        <v>60953.53</v>
      </c>
      <c r="P93" s="26">
        <v>22407.75</v>
      </c>
    </row>
    <row r="94" spans="1:16" x14ac:dyDescent="0.3">
      <c r="A94" s="25">
        <v>93</v>
      </c>
      <c r="B94" s="16" t="s">
        <v>42</v>
      </c>
      <c r="C94" s="16">
        <v>2024</v>
      </c>
      <c r="D94" s="16" t="s">
        <v>39</v>
      </c>
      <c r="E94" s="16" t="s">
        <v>27</v>
      </c>
      <c r="F94" s="16" t="s">
        <v>33</v>
      </c>
      <c r="G94" s="16">
        <v>30</v>
      </c>
      <c r="H94" s="16">
        <v>5391</v>
      </c>
      <c r="I94" s="16">
        <v>479.9</v>
      </c>
      <c r="J94" s="19">
        <v>0.67</v>
      </c>
      <c r="K94" s="16">
        <v>90.5</v>
      </c>
      <c r="L94" s="19">
        <v>0.88700000000000001</v>
      </c>
      <c r="M94" s="19">
        <v>3.9E-2</v>
      </c>
      <c r="N94" s="21">
        <v>41787.01</v>
      </c>
      <c r="O94" s="21">
        <v>28090.639999999999</v>
      </c>
      <c r="P94" s="26">
        <v>13696.37</v>
      </c>
    </row>
    <row r="95" spans="1:16" x14ac:dyDescent="0.3">
      <c r="A95" s="25">
        <v>94</v>
      </c>
      <c r="B95" s="16" t="s">
        <v>42</v>
      </c>
      <c r="C95" s="16">
        <v>2024</v>
      </c>
      <c r="D95" s="16" t="s">
        <v>39</v>
      </c>
      <c r="E95" s="16" t="s">
        <v>34</v>
      </c>
      <c r="F95" s="16" t="s">
        <v>36</v>
      </c>
      <c r="G95" s="16">
        <v>59</v>
      </c>
      <c r="H95" s="16">
        <v>11497</v>
      </c>
      <c r="I95" s="16">
        <v>880.3</v>
      </c>
      <c r="J95" s="19">
        <v>0.67300000000000004</v>
      </c>
      <c r="K95" s="16">
        <v>83.4</v>
      </c>
      <c r="L95" s="19">
        <v>1</v>
      </c>
      <c r="M95" s="19">
        <v>2.1999999999999999E-2</v>
      </c>
      <c r="N95" s="21">
        <v>86125.4</v>
      </c>
      <c r="O95" s="21">
        <v>65399.76</v>
      </c>
      <c r="P95" s="26">
        <v>20725.64</v>
      </c>
    </row>
    <row r="96" spans="1:16" x14ac:dyDescent="0.3">
      <c r="A96" s="25">
        <v>95</v>
      </c>
      <c r="B96" s="16" t="s">
        <v>42</v>
      </c>
      <c r="C96" s="16">
        <v>2024</v>
      </c>
      <c r="D96" s="16" t="s">
        <v>39</v>
      </c>
      <c r="E96" s="16" t="s">
        <v>31</v>
      </c>
      <c r="F96" s="16" t="s">
        <v>36</v>
      </c>
      <c r="G96" s="16">
        <v>36</v>
      </c>
      <c r="H96" s="16">
        <v>7394</v>
      </c>
      <c r="I96" s="16">
        <v>904.6</v>
      </c>
      <c r="J96" s="19">
        <v>0.75700000000000001</v>
      </c>
      <c r="K96" s="16">
        <v>81</v>
      </c>
      <c r="L96" s="19">
        <v>0.92400000000000004</v>
      </c>
      <c r="M96" s="19">
        <v>4.2999999999999997E-2</v>
      </c>
      <c r="N96" s="21">
        <v>70609.45</v>
      </c>
      <c r="O96" s="21">
        <v>52043</v>
      </c>
      <c r="P96" s="26">
        <v>18566.45</v>
      </c>
    </row>
    <row r="97" spans="1:16" x14ac:dyDescent="0.3">
      <c r="A97" s="25">
        <v>96</v>
      </c>
      <c r="B97" s="16" t="s">
        <v>42</v>
      </c>
      <c r="C97" s="16">
        <v>2024</v>
      </c>
      <c r="D97" s="16" t="s">
        <v>39</v>
      </c>
      <c r="E97" s="16" t="s">
        <v>34</v>
      </c>
      <c r="F97" s="16" t="s">
        <v>37</v>
      </c>
      <c r="G97" s="16">
        <v>29</v>
      </c>
      <c r="H97" s="16">
        <v>4895</v>
      </c>
      <c r="I97" s="16">
        <v>684.7</v>
      </c>
      <c r="J97" s="19">
        <v>0.748</v>
      </c>
      <c r="K97" s="16">
        <v>93.8</v>
      </c>
      <c r="L97" s="19">
        <v>0.84399999999999997</v>
      </c>
      <c r="M97" s="19">
        <v>2.9000000000000001E-2</v>
      </c>
      <c r="N97" s="21">
        <v>47914.1</v>
      </c>
      <c r="O97" s="21">
        <v>37344.89</v>
      </c>
      <c r="P97" s="26">
        <v>10569.21</v>
      </c>
    </row>
    <row r="98" spans="1:16" x14ac:dyDescent="0.3">
      <c r="A98" s="25">
        <v>97</v>
      </c>
      <c r="B98" s="16" t="s">
        <v>42</v>
      </c>
      <c r="C98" s="16">
        <v>2024</v>
      </c>
      <c r="D98" s="16" t="s">
        <v>39</v>
      </c>
      <c r="E98" s="16" t="s">
        <v>31</v>
      </c>
      <c r="F98" s="16" t="s">
        <v>37</v>
      </c>
      <c r="G98" s="16">
        <v>28</v>
      </c>
      <c r="H98" s="16">
        <v>5419</v>
      </c>
      <c r="I98" s="16">
        <v>639.9</v>
      </c>
      <c r="J98" s="19">
        <v>0.69299999999999995</v>
      </c>
      <c r="K98" s="16">
        <v>84.5</v>
      </c>
      <c r="L98" s="19">
        <v>0.95599999999999996</v>
      </c>
      <c r="M98" s="19">
        <v>2.9000000000000001E-2</v>
      </c>
      <c r="N98" s="21">
        <v>44480.160000000003</v>
      </c>
      <c r="O98" s="21">
        <v>30605.86</v>
      </c>
      <c r="P98" s="26">
        <v>13874.3</v>
      </c>
    </row>
    <row r="99" spans="1:16" x14ac:dyDescent="0.3">
      <c r="A99" s="25">
        <v>98</v>
      </c>
      <c r="B99" s="16" t="s">
        <v>42</v>
      </c>
      <c r="C99" s="16">
        <v>2024</v>
      </c>
      <c r="D99" s="16" t="s">
        <v>40</v>
      </c>
      <c r="E99" s="16" t="s">
        <v>27</v>
      </c>
      <c r="F99" s="16" t="s">
        <v>28</v>
      </c>
      <c r="G99" s="16">
        <v>21</v>
      </c>
      <c r="H99" s="16">
        <v>4746</v>
      </c>
      <c r="I99" s="16">
        <v>415.8</v>
      </c>
      <c r="J99" s="19">
        <v>0.88700000000000001</v>
      </c>
      <c r="K99" s="16">
        <v>74.8</v>
      </c>
      <c r="L99" s="19">
        <v>0.94799999999999995</v>
      </c>
      <c r="M99" s="19">
        <v>1.9E-2</v>
      </c>
      <c r="N99" s="21">
        <v>34827.21</v>
      </c>
      <c r="O99" s="21">
        <v>22766.75</v>
      </c>
      <c r="P99" s="26">
        <v>12060.46</v>
      </c>
    </row>
    <row r="100" spans="1:16" x14ac:dyDescent="0.3">
      <c r="A100" s="25">
        <v>99</v>
      </c>
      <c r="B100" s="16" t="s">
        <v>42</v>
      </c>
      <c r="C100" s="16">
        <v>2024</v>
      </c>
      <c r="D100" s="16" t="s">
        <v>40</v>
      </c>
      <c r="E100" s="16" t="s">
        <v>30</v>
      </c>
      <c r="F100" s="16" t="s">
        <v>28</v>
      </c>
      <c r="G100" s="16">
        <v>65</v>
      </c>
      <c r="H100" s="16">
        <v>12892</v>
      </c>
      <c r="I100" s="16">
        <v>436.1</v>
      </c>
      <c r="J100" s="19">
        <v>0.73899999999999999</v>
      </c>
      <c r="K100" s="16">
        <v>84.6</v>
      </c>
      <c r="L100" s="19">
        <v>0.80100000000000005</v>
      </c>
      <c r="M100" s="19">
        <v>2.1999999999999999E-2</v>
      </c>
      <c r="N100" s="21">
        <v>91472.320000000007</v>
      </c>
      <c r="O100" s="21">
        <v>69456.759999999995</v>
      </c>
      <c r="P100" s="26">
        <v>22015.56</v>
      </c>
    </row>
    <row r="101" spans="1:16" x14ac:dyDescent="0.3">
      <c r="A101" s="25">
        <v>100</v>
      </c>
      <c r="B101" s="16" t="s">
        <v>42</v>
      </c>
      <c r="C101" s="16">
        <v>2024</v>
      </c>
      <c r="D101" s="16" t="s">
        <v>40</v>
      </c>
      <c r="E101" s="16" t="s">
        <v>32</v>
      </c>
      <c r="F101" s="16" t="s">
        <v>29</v>
      </c>
      <c r="G101" s="16">
        <v>39</v>
      </c>
      <c r="H101" s="16">
        <v>6063</v>
      </c>
      <c r="I101" s="16">
        <v>248.2</v>
      </c>
      <c r="J101" s="19">
        <v>0.72</v>
      </c>
      <c r="K101" s="16">
        <v>77.7</v>
      </c>
      <c r="L101" s="19">
        <v>0.89700000000000002</v>
      </c>
      <c r="M101" s="19">
        <v>2.8000000000000001E-2</v>
      </c>
      <c r="N101" s="21">
        <v>57769.73</v>
      </c>
      <c r="O101" s="21">
        <v>37999.08</v>
      </c>
      <c r="P101" s="26">
        <v>19770.650000000001</v>
      </c>
    </row>
    <row r="102" spans="1:16" x14ac:dyDescent="0.3">
      <c r="A102" s="25">
        <v>101</v>
      </c>
      <c r="B102" s="16" t="s">
        <v>42</v>
      </c>
      <c r="C102" s="16">
        <v>2024</v>
      </c>
      <c r="D102" s="16" t="s">
        <v>40</v>
      </c>
      <c r="E102" s="16" t="s">
        <v>35</v>
      </c>
      <c r="F102" s="16" t="s">
        <v>29</v>
      </c>
      <c r="G102" s="16">
        <v>21</v>
      </c>
      <c r="H102" s="16">
        <v>3593</v>
      </c>
      <c r="I102" s="16">
        <v>360</v>
      </c>
      <c r="J102" s="19">
        <v>0.70099999999999996</v>
      </c>
      <c r="K102" s="16">
        <v>78.3</v>
      </c>
      <c r="L102" s="19">
        <v>0.88100000000000001</v>
      </c>
      <c r="M102" s="19">
        <v>2.1999999999999999E-2</v>
      </c>
      <c r="N102" s="21">
        <v>36793.019999999997</v>
      </c>
      <c r="O102" s="21">
        <v>27781.21</v>
      </c>
      <c r="P102" s="26">
        <v>9011.81</v>
      </c>
    </row>
    <row r="103" spans="1:16" x14ac:dyDescent="0.3">
      <c r="A103" s="25">
        <v>102</v>
      </c>
      <c r="B103" s="16" t="s">
        <v>42</v>
      </c>
      <c r="C103" s="16">
        <v>2024</v>
      </c>
      <c r="D103" s="16" t="s">
        <v>40</v>
      </c>
      <c r="E103" s="16" t="s">
        <v>32</v>
      </c>
      <c r="F103" s="16" t="s">
        <v>33</v>
      </c>
      <c r="G103" s="16">
        <v>60</v>
      </c>
      <c r="H103" s="16">
        <v>11170</v>
      </c>
      <c r="I103" s="16">
        <v>469.6</v>
      </c>
      <c r="J103" s="19">
        <v>0.72799999999999998</v>
      </c>
      <c r="K103" s="16">
        <v>84.6</v>
      </c>
      <c r="L103" s="19">
        <v>0.94399999999999995</v>
      </c>
      <c r="M103" s="19">
        <v>2.5000000000000001E-2</v>
      </c>
      <c r="N103" s="21">
        <v>84745.52</v>
      </c>
      <c r="O103" s="21">
        <v>53075.69</v>
      </c>
      <c r="P103" s="26">
        <v>31669.83</v>
      </c>
    </row>
    <row r="104" spans="1:16" x14ac:dyDescent="0.3">
      <c r="A104" s="25">
        <v>103</v>
      </c>
      <c r="B104" s="16" t="s">
        <v>42</v>
      </c>
      <c r="C104" s="16">
        <v>2024</v>
      </c>
      <c r="D104" s="16" t="s">
        <v>40</v>
      </c>
      <c r="E104" s="16" t="s">
        <v>34</v>
      </c>
      <c r="F104" s="16" t="s">
        <v>33</v>
      </c>
      <c r="G104" s="16">
        <v>46</v>
      </c>
      <c r="H104" s="16">
        <v>6238</v>
      </c>
      <c r="I104" s="16">
        <v>516.70000000000005</v>
      </c>
      <c r="J104" s="19">
        <v>0.76100000000000001</v>
      </c>
      <c r="K104" s="16">
        <v>90</v>
      </c>
      <c r="L104" s="19">
        <v>1</v>
      </c>
      <c r="M104" s="19">
        <v>0</v>
      </c>
      <c r="N104" s="21">
        <v>65291.23</v>
      </c>
      <c r="O104" s="21">
        <v>41939.440000000002</v>
      </c>
      <c r="P104" s="26">
        <v>23351.79</v>
      </c>
    </row>
    <row r="105" spans="1:16" x14ac:dyDescent="0.3">
      <c r="A105" s="25">
        <v>104</v>
      </c>
      <c r="B105" s="16" t="s">
        <v>42</v>
      </c>
      <c r="C105" s="16">
        <v>2024</v>
      </c>
      <c r="D105" s="16" t="s">
        <v>40</v>
      </c>
      <c r="E105" s="16" t="s">
        <v>32</v>
      </c>
      <c r="F105" s="16" t="s">
        <v>36</v>
      </c>
      <c r="G105" s="16">
        <v>54</v>
      </c>
      <c r="H105" s="16">
        <v>8476</v>
      </c>
      <c r="I105" s="16">
        <v>875</v>
      </c>
      <c r="J105" s="19">
        <v>0.81499999999999995</v>
      </c>
      <c r="K105" s="16">
        <v>83</v>
      </c>
      <c r="L105" s="19">
        <v>0.95199999999999996</v>
      </c>
      <c r="M105" s="19">
        <v>2.7E-2</v>
      </c>
      <c r="N105" s="21">
        <v>87665.18</v>
      </c>
      <c r="O105" s="21">
        <v>67601.98</v>
      </c>
      <c r="P105" s="26">
        <v>20063.2</v>
      </c>
    </row>
    <row r="106" spans="1:16" x14ac:dyDescent="0.3">
      <c r="A106" s="25">
        <v>105</v>
      </c>
      <c r="B106" s="16" t="s">
        <v>42</v>
      </c>
      <c r="C106" s="16">
        <v>2024</v>
      </c>
      <c r="D106" s="16" t="s">
        <v>40</v>
      </c>
      <c r="E106" s="16" t="s">
        <v>27</v>
      </c>
      <c r="F106" s="16" t="s">
        <v>36</v>
      </c>
      <c r="G106" s="16">
        <v>81</v>
      </c>
      <c r="H106" s="16">
        <v>14538</v>
      </c>
      <c r="I106" s="16">
        <v>908</v>
      </c>
      <c r="J106" s="19">
        <v>0.76300000000000001</v>
      </c>
      <c r="K106" s="16">
        <v>89.5</v>
      </c>
      <c r="L106" s="19">
        <v>0.93799999999999994</v>
      </c>
      <c r="M106" s="19">
        <v>3.6999999999999998E-2</v>
      </c>
      <c r="N106" s="21">
        <v>99142.75</v>
      </c>
      <c r="O106" s="21">
        <v>67716.31</v>
      </c>
      <c r="P106" s="26">
        <v>31426.44</v>
      </c>
    </row>
    <row r="107" spans="1:16" x14ac:dyDescent="0.3">
      <c r="A107" s="25">
        <v>106</v>
      </c>
      <c r="B107" s="16" t="s">
        <v>42</v>
      </c>
      <c r="C107" s="16">
        <v>2024</v>
      </c>
      <c r="D107" s="16" t="s">
        <v>40</v>
      </c>
      <c r="E107" s="16" t="s">
        <v>30</v>
      </c>
      <c r="F107" s="16" t="s">
        <v>36</v>
      </c>
      <c r="G107" s="16">
        <v>49</v>
      </c>
      <c r="H107" s="16">
        <v>8023</v>
      </c>
      <c r="I107" s="16">
        <v>897.4</v>
      </c>
      <c r="J107" s="19">
        <v>0.72</v>
      </c>
      <c r="K107" s="16">
        <v>85.6</v>
      </c>
      <c r="L107" s="19">
        <v>0.997</v>
      </c>
      <c r="M107" s="19">
        <v>2.9000000000000001E-2</v>
      </c>
      <c r="N107" s="21">
        <v>72369.440000000002</v>
      </c>
      <c r="O107" s="21">
        <v>55041.48</v>
      </c>
      <c r="P107" s="26">
        <v>17327.96</v>
      </c>
    </row>
    <row r="108" spans="1:16" x14ac:dyDescent="0.3">
      <c r="A108" s="25">
        <v>107</v>
      </c>
      <c r="B108" s="16" t="s">
        <v>42</v>
      </c>
      <c r="C108" s="16">
        <v>2024</v>
      </c>
      <c r="D108" s="16" t="s">
        <v>40</v>
      </c>
      <c r="E108" s="16" t="s">
        <v>35</v>
      </c>
      <c r="F108" s="16" t="s">
        <v>36</v>
      </c>
      <c r="G108" s="16">
        <v>53</v>
      </c>
      <c r="H108" s="16">
        <v>10421</v>
      </c>
      <c r="I108" s="16">
        <v>888.1</v>
      </c>
      <c r="J108" s="19">
        <v>0.78300000000000003</v>
      </c>
      <c r="K108" s="16">
        <v>83.2</v>
      </c>
      <c r="L108" s="19">
        <v>0.89</v>
      </c>
      <c r="M108" s="19">
        <v>2.5999999999999999E-2</v>
      </c>
      <c r="N108" s="21">
        <v>78425.41</v>
      </c>
      <c r="O108" s="21">
        <v>52696.68</v>
      </c>
      <c r="P108" s="26">
        <v>25728.73</v>
      </c>
    </row>
    <row r="109" spans="1:16" x14ac:dyDescent="0.3">
      <c r="A109" s="25">
        <v>108</v>
      </c>
      <c r="B109" s="16" t="s">
        <v>42</v>
      </c>
      <c r="C109" s="16">
        <v>2024</v>
      </c>
      <c r="D109" s="16" t="s">
        <v>40</v>
      </c>
      <c r="E109" s="16" t="s">
        <v>30</v>
      </c>
      <c r="F109" s="16" t="s">
        <v>37</v>
      </c>
      <c r="G109" s="16">
        <v>30</v>
      </c>
      <c r="H109" s="16">
        <v>3963</v>
      </c>
      <c r="I109" s="16">
        <v>634.4</v>
      </c>
      <c r="J109" s="19">
        <v>0.60099999999999998</v>
      </c>
      <c r="K109" s="16">
        <v>89.2</v>
      </c>
      <c r="L109" s="19">
        <v>0.85899999999999999</v>
      </c>
      <c r="M109" s="19">
        <v>3.5000000000000003E-2</v>
      </c>
      <c r="N109" s="21">
        <v>48172.61</v>
      </c>
      <c r="O109" s="21">
        <v>32794.26</v>
      </c>
      <c r="P109" s="26">
        <v>15378.35</v>
      </c>
    </row>
    <row r="110" spans="1:16" x14ac:dyDescent="0.3">
      <c r="A110" s="25">
        <v>109</v>
      </c>
      <c r="B110" s="16" t="s">
        <v>42</v>
      </c>
      <c r="C110" s="16">
        <v>2024</v>
      </c>
      <c r="D110" s="16" t="s">
        <v>40</v>
      </c>
      <c r="E110" s="16" t="s">
        <v>34</v>
      </c>
      <c r="F110" s="16" t="s">
        <v>37</v>
      </c>
      <c r="G110" s="16">
        <v>7</v>
      </c>
      <c r="H110" s="16">
        <v>1627</v>
      </c>
      <c r="I110" s="16">
        <v>604.4</v>
      </c>
      <c r="J110" s="19">
        <v>0.58099999999999996</v>
      </c>
      <c r="K110" s="16">
        <v>86.1</v>
      </c>
      <c r="L110" s="19">
        <v>0.98299999999999998</v>
      </c>
      <c r="M110" s="19">
        <v>4.9000000000000002E-2</v>
      </c>
      <c r="N110" s="21">
        <v>9061.4699999999993</v>
      </c>
      <c r="O110" s="21">
        <v>6796.81</v>
      </c>
      <c r="P110" s="26">
        <v>2264.66</v>
      </c>
    </row>
    <row r="111" spans="1:16" x14ac:dyDescent="0.3">
      <c r="A111" s="25">
        <v>110</v>
      </c>
      <c r="B111" s="16" t="s">
        <v>42</v>
      </c>
      <c r="C111" s="16">
        <v>2024</v>
      </c>
      <c r="D111" s="16" t="s">
        <v>40</v>
      </c>
      <c r="E111" s="16" t="s">
        <v>31</v>
      </c>
      <c r="F111" s="16" t="s">
        <v>37</v>
      </c>
      <c r="G111" s="16">
        <v>56</v>
      </c>
      <c r="H111" s="16">
        <v>10479</v>
      </c>
      <c r="I111" s="16">
        <v>664.2</v>
      </c>
      <c r="J111" s="19">
        <v>0.67600000000000005</v>
      </c>
      <c r="K111" s="16">
        <v>77.2</v>
      </c>
      <c r="L111" s="19">
        <v>0.79800000000000004</v>
      </c>
      <c r="M111" s="19">
        <v>2.1999999999999999E-2</v>
      </c>
      <c r="N111" s="21">
        <v>73569.48</v>
      </c>
      <c r="O111" s="21">
        <v>48966.35</v>
      </c>
      <c r="P111" s="26">
        <v>24603.13</v>
      </c>
    </row>
    <row r="112" spans="1:16" x14ac:dyDescent="0.3">
      <c r="A112" s="25">
        <v>111</v>
      </c>
      <c r="B112" s="16" t="s">
        <v>42</v>
      </c>
      <c r="C112" s="16">
        <v>2024</v>
      </c>
      <c r="D112" s="16" t="s">
        <v>41</v>
      </c>
      <c r="E112" s="16" t="s">
        <v>32</v>
      </c>
      <c r="F112" s="16" t="s">
        <v>28</v>
      </c>
      <c r="G112" s="16">
        <v>16</v>
      </c>
      <c r="H112" s="16">
        <v>3036</v>
      </c>
      <c r="I112" s="16">
        <v>480.6</v>
      </c>
      <c r="J112" s="19">
        <v>0.82599999999999996</v>
      </c>
      <c r="K112" s="16">
        <v>83</v>
      </c>
      <c r="L112" s="19">
        <v>0.89200000000000002</v>
      </c>
      <c r="M112" s="19">
        <v>4.0000000000000001E-3</v>
      </c>
      <c r="N112" s="21">
        <v>31030.31</v>
      </c>
      <c r="O112" s="21">
        <v>22620.44</v>
      </c>
      <c r="P112" s="26">
        <v>8409.8700000000008</v>
      </c>
    </row>
    <row r="113" spans="1:16" x14ac:dyDescent="0.3">
      <c r="A113" s="25">
        <v>112</v>
      </c>
      <c r="B113" s="16" t="s">
        <v>42</v>
      </c>
      <c r="C113" s="16">
        <v>2024</v>
      </c>
      <c r="D113" s="16" t="s">
        <v>41</v>
      </c>
      <c r="E113" s="16" t="s">
        <v>34</v>
      </c>
      <c r="F113" s="16" t="s">
        <v>28</v>
      </c>
      <c r="G113" s="16">
        <v>47</v>
      </c>
      <c r="H113" s="16">
        <v>7501</v>
      </c>
      <c r="I113" s="16">
        <v>475.9</v>
      </c>
      <c r="J113" s="19">
        <v>0.77500000000000002</v>
      </c>
      <c r="K113" s="16">
        <v>83.1</v>
      </c>
      <c r="L113" s="19">
        <v>0.92800000000000005</v>
      </c>
      <c r="M113" s="19">
        <v>2.1000000000000001E-2</v>
      </c>
      <c r="N113" s="21">
        <v>90653.54</v>
      </c>
      <c r="O113" s="21">
        <v>64931.31</v>
      </c>
      <c r="P113" s="26">
        <v>25722.23</v>
      </c>
    </row>
    <row r="114" spans="1:16" x14ac:dyDescent="0.3">
      <c r="A114" s="25">
        <v>113</v>
      </c>
      <c r="B114" s="16" t="s">
        <v>42</v>
      </c>
      <c r="C114" s="16">
        <v>2024</v>
      </c>
      <c r="D114" s="16" t="s">
        <v>41</v>
      </c>
      <c r="E114" s="16" t="s">
        <v>31</v>
      </c>
      <c r="F114" s="16" t="s">
        <v>28</v>
      </c>
      <c r="G114" s="16">
        <v>40</v>
      </c>
      <c r="H114" s="16">
        <v>7594</v>
      </c>
      <c r="I114" s="16">
        <v>440</v>
      </c>
      <c r="J114" s="19">
        <v>0.70199999999999996</v>
      </c>
      <c r="K114" s="16">
        <v>91.7</v>
      </c>
      <c r="L114" s="19">
        <v>0.88300000000000001</v>
      </c>
      <c r="M114" s="19">
        <v>1.7000000000000001E-2</v>
      </c>
      <c r="N114" s="21">
        <v>77785.31</v>
      </c>
      <c r="O114" s="21">
        <v>51174.9</v>
      </c>
      <c r="P114" s="26">
        <v>26610.41</v>
      </c>
    </row>
    <row r="115" spans="1:16" x14ac:dyDescent="0.3">
      <c r="A115" s="25">
        <v>114</v>
      </c>
      <c r="B115" s="16" t="s">
        <v>42</v>
      </c>
      <c r="C115" s="16">
        <v>2024</v>
      </c>
      <c r="D115" s="16" t="s">
        <v>41</v>
      </c>
      <c r="E115" s="16" t="s">
        <v>35</v>
      </c>
      <c r="F115" s="16" t="s">
        <v>28</v>
      </c>
      <c r="G115" s="16">
        <v>57</v>
      </c>
      <c r="H115" s="16">
        <v>9582</v>
      </c>
      <c r="I115" s="16">
        <v>492.8</v>
      </c>
      <c r="J115" s="19">
        <v>0.73</v>
      </c>
      <c r="K115" s="16">
        <v>87.2</v>
      </c>
      <c r="L115" s="19">
        <v>1</v>
      </c>
      <c r="M115" s="19">
        <v>1.2E-2</v>
      </c>
      <c r="N115" s="21">
        <v>85913.919999999998</v>
      </c>
      <c r="O115" s="21">
        <v>55576.19</v>
      </c>
      <c r="P115" s="26">
        <v>30337.73</v>
      </c>
    </row>
    <row r="116" spans="1:16" x14ac:dyDescent="0.3">
      <c r="A116" s="25">
        <v>115</v>
      </c>
      <c r="B116" s="16" t="s">
        <v>42</v>
      </c>
      <c r="C116" s="16">
        <v>2024</v>
      </c>
      <c r="D116" s="16" t="s">
        <v>41</v>
      </c>
      <c r="E116" s="16" t="s">
        <v>32</v>
      </c>
      <c r="F116" s="16" t="s">
        <v>29</v>
      </c>
      <c r="G116" s="16">
        <v>39</v>
      </c>
      <c r="H116" s="16">
        <v>7450</v>
      </c>
      <c r="I116" s="16">
        <v>349</v>
      </c>
      <c r="J116" s="19">
        <v>0.747</v>
      </c>
      <c r="K116" s="16">
        <v>75.3</v>
      </c>
      <c r="L116" s="19">
        <v>0.98799999999999999</v>
      </c>
      <c r="M116" s="19">
        <v>2.3E-2</v>
      </c>
      <c r="N116" s="21">
        <v>55371.51</v>
      </c>
      <c r="O116" s="21">
        <v>38731.410000000003</v>
      </c>
      <c r="P116" s="26">
        <v>16640.099999999999</v>
      </c>
    </row>
    <row r="117" spans="1:16" x14ac:dyDescent="0.3">
      <c r="A117" s="25">
        <v>116</v>
      </c>
      <c r="B117" s="16" t="s">
        <v>42</v>
      </c>
      <c r="C117" s="16">
        <v>2024</v>
      </c>
      <c r="D117" s="16" t="s">
        <v>41</v>
      </c>
      <c r="E117" s="16" t="s">
        <v>27</v>
      </c>
      <c r="F117" s="16" t="s">
        <v>29</v>
      </c>
      <c r="G117" s="16">
        <v>51</v>
      </c>
      <c r="H117" s="16">
        <v>8329</v>
      </c>
      <c r="I117" s="16">
        <v>242.6</v>
      </c>
      <c r="J117" s="19">
        <v>0.53500000000000003</v>
      </c>
      <c r="K117" s="16">
        <v>87.9</v>
      </c>
      <c r="L117" s="19">
        <v>0.91800000000000004</v>
      </c>
      <c r="M117" s="19">
        <v>3.1E-2</v>
      </c>
      <c r="N117" s="21">
        <v>69508.17</v>
      </c>
      <c r="O117" s="21">
        <v>49527.48</v>
      </c>
      <c r="P117" s="26">
        <v>19980.689999999999</v>
      </c>
    </row>
    <row r="118" spans="1:16" x14ac:dyDescent="0.3">
      <c r="A118" s="25">
        <v>117</v>
      </c>
      <c r="B118" s="16" t="s">
        <v>42</v>
      </c>
      <c r="C118" s="16">
        <v>2024</v>
      </c>
      <c r="D118" s="16" t="s">
        <v>41</v>
      </c>
      <c r="E118" s="16" t="s">
        <v>35</v>
      </c>
      <c r="F118" s="16" t="s">
        <v>29</v>
      </c>
      <c r="G118" s="16">
        <v>36</v>
      </c>
      <c r="H118" s="16">
        <v>5682</v>
      </c>
      <c r="I118" s="16">
        <v>274</v>
      </c>
      <c r="J118" s="19">
        <v>0.57699999999999996</v>
      </c>
      <c r="K118" s="16">
        <v>83.2</v>
      </c>
      <c r="L118" s="19">
        <v>0.91400000000000003</v>
      </c>
      <c r="M118" s="19">
        <v>1.2E-2</v>
      </c>
      <c r="N118" s="21">
        <v>43755.48</v>
      </c>
      <c r="O118" s="21">
        <v>33289.72</v>
      </c>
      <c r="P118" s="26">
        <v>10465.76</v>
      </c>
    </row>
    <row r="119" spans="1:16" x14ac:dyDescent="0.3">
      <c r="A119" s="25">
        <v>118</v>
      </c>
      <c r="B119" s="16" t="s">
        <v>42</v>
      </c>
      <c r="C119" s="16">
        <v>2024</v>
      </c>
      <c r="D119" s="16" t="s">
        <v>41</v>
      </c>
      <c r="E119" s="16" t="s">
        <v>32</v>
      </c>
      <c r="F119" s="16" t="s">
        <v>33</v>
      </c>
      <c r="G119" s="16">
        <v>15</v>
      </c>
      <c r="H119" s="16">
        <v>2838</v>
      </c>
      <c r="I119" s="16">
        <v>529.1</v>
      </c>
      <c r="J119" s="19">
        <v>0.66700000000000004</v>
      </c>
      <c r="K119" s="16">
        <v>96.4</v>
      </c>
      <c r="L119" s="19">
        <v>0.85799999999999998</v>
      </c>
      <c r="M119" s="19">
        <v>2.4E-2</v>
      </c>
      <c r="N119" s="21">
        <v>25345.7</v>
      </c>
      <c r="O119" s="21">
        <v>17994.62</v>
      </c>
      <c r="P119" s="26">
        <v>7351.08</v>
      </c>
    </row>
    <row r="120" spans="1:16" x14ac:dyDescent="0.3">
      <c r="A120" s="25">
        <v>119</v>
      </c>
      <c r="B120" s="16" t="s">
        <v>42</v>
      </c>
      <c r="C120" s="16">
        <v>2024</v>
      </c>
      <c r="D120" s="16" t="s">
        <v>41</v>
      </c>
      <c r="E120" s="16" t="s">
        <v>27</v>
      </c>
      <c r="F120" s="16" t="s">
        <v>33</v>
      </c>
      <c r="G120" s="16">
        <v>53</v>
      </c>
      <c r="H120" s="16">
        <v>8478</v>
      </c>
      <c r="I120" s="16">
        <v>486.8</v>
      </c>
      <c r="J120" s="19">
        <v>0.65500000000000003</v>
      </c>
      <c r="K120" s="16">
        <v>87.4</v>
      </c>
      <c r="L120" s="19">
        <v>0.85599999999999998</v>
      </c>
      <c r="M120" s="19">
        <v>1.0999999999999999E-2</v>
      </c>
      <c r="N120" s="21">
        <v>104117.27</v>
      </c>
      <c r="O120" s="21">
        <v>75629.31</v>
      </c>
      <c r="P120" s="26">
        <v>28487.96</v>
      </c>
    </row>
    <row r="121" spans="1:16" x14ac:dyDescent="0.3">
      <c r="A121" s="25">
        <v>120</v>
      </c>
      <c r="B121" s="16" t="s">
        <v>42</v>
      </c>
      <c r="C121" s="16">
        <v>2024</v>
      </c>
      <c r="D121" s="16" t="s">
        <v>41</v>
      </c>
      <c r="E121" s="16" t="s">
        <v>30</v>
      </c>
      <c r="F121" s="16" t="s">
        <v>33</v>
      </c>
      <c r="G121" s="16">
        <v>28</v>
      </c>
      <c r="H121" s="16">
        <v>4861</v>
      </c>
      <c r="I121" s="16">
        <v>528.5</v>
      </c>
      <c r="J121" s="19">
        <v>0.749</v>
      </c>
      <c r="K121" s="16">
        <v>99</v>
      </c>
      <c r="L121" s="19">
        <v>0.91200000000000003</v>
      </c>
      <c r="M121" s="19">
        <v>2.4E-2</v>
      </c>
      <c r="N121" s="21">
        <v>49492.21</v>
      </c>
      <c r="O121" s="21">
        <v>31696.5</v>
      </c>
      <c r="P121" s="26">
        <v>17795.71</v>
      </c>
    </row>
    <row r="122" spans="1:16" x14ac:dyDescent="0.3">
      <c r="A122" s="25">
        <v>121</v>
      </c>
      <c r="B122" s="16" t="s">
        <v>42</v>
      </c>
      <c r="C122" s="16">
        <v>2024</v>
      </c>
      <c r="D122" s="16" t="s">
        <v>41</v>
      </c>
      <c r="E122" s="16" t="s">
        <v>34</v>
      </c>
      <c r="F122" s="16" t="s">
        <v>33</v>
      </c>
      <c r="G122" s="16">
        <v>55</v>
      </c>
      <c r="H122" s="16">
        <v>11132</v>
      </c>
      <c r="I122" s="16">
        <v>448.6</v>
      </c>
      <c r="J122" s="19">
        <v>0.66</v>
      </c>
      <c r="K122" s="16">
        <v>78.8</v>
      </c>
      <c r="L122" s="19">
        <v>0.83399999999999996</v>
      </c>
      <c r="M122" s="19">
        <v>2.5000000000000001E-2</v>
      </c>
      <c r="N122" s="21">
        <v>65655.19</v>
      </c>
      <c r="O122" s="21">
        <v>47015.360000000001</v>
      </c>
      <c r="P122" s="26">
        <v>18639.830000000002</v>
      </c>
    </row>
    <row r="123" spans="1:16" x14ac:dyDescent="0.3">
      <c r="A123" s="25">
        <v>122</v>
      </c>
      <c r="B123" s="16" t="s">
        <v>42</v>
      </c>
      <c r="C123" s="16">
        <v>2024</v>
      </c>
      <c r="D123" s="16" t="s">
        <v>41</v>
      </c>
      <c r="E123" s="16" t="s">
        <v>35</v>
      </c>
      <c r="F123" s="16" t="s">
        <v>33</v>
      </c>
      <c r="G123" s="16">
        <v>48</v>
      </c>
      <c r="H123" s="16">
        <v>8675</v>
      </c>
      <c r="I123" s="16">
        <v>464.6</v>
      </c>
      <c r="J123" s="19">
        <v>0.76800000000000002</v>
      </c>
      <c r="K123" s="16">
        <v>85.8</v>
      </c>
      <c r="L123" s="19">
        <v>0.93400000000000005</v>
      </c>
      <c r="M123" s="19">
        <v>3.2000000000000001E-2</v>
      </c>
      <c r="N123" s="21">
        <v>97586.89</v>
      </c>
      <c r="O123" s="21">
        <v>65261.1</v>
      </c>
      <c r="P123" s="26">
        <v>32325.79</v>
      </c>
    </row>
    <row r="124" spans="1:16" x14ac:dyDescent="0.3">
      <c r="A124" s="25">
        <v>123</v>
      </c>
      <c r="B124" s="16" t="s">
        <v>42</v>
      </c>
      <c r="C124" s="16">
        <v>2024</v>
      </c>
      <c r="D124" s="16" t="s">
        <v>41</v>
      </c>
      <c r="E124" s="16" t="s">
        <v>34</v>
      </c>
      <c r="F124" s="16" t="s">
        <v>36</v>
      </c>
      <c r="G124" s="16">
        <v>45</v>
      </c>
      <c r="H124" s="16">
        <v>8126</v>
      </c>
      <c r="I124" s="16">
        <v>943.4</v>
      </c>
      <c r="J124" s="19">
        <v>0.72799999999999998</v>
      </c>
      <c r="K124" s="16">
        <v>86.9</v>
      </c>
      <c r="L124" s="19">
        <v>0.98299999999999998</v>
      </c>
      <c r="M124" s="19">
        <v>2.8000000000000001E-2</v>
      </c>
      <c r="N124" s="21">
        <v>87651.7</v>
      </c>
      <c r="O124" s="21">
        <v>56796.04</v>
      </c>
      <c r="P124" s="26">
        <v>30855.66</v>
      </c>
    </row>
    <row r="125" spans="1:16" x14ac:dyDescent="0.3">
      <c r="A125" s="25">
        <v>124</v>
      </c>
      <c r="B125" s="16" t="s">
        <v>42</v>
      </c>
      <c r="C125" s="16">
        <v>2024</v>
      </c>
      <c r="D125" s="16" t="s">
        <v>41</v>
      </c>
      <c r="E125" s="16" t="s">
        <v>35</v>
      </c>
      <c r="F125" s="16" t="s">
        <v>37</v>
      </c>
      <c r="G125" s="16">
        <v>52</v>
      </c>
      <c r="H125" s="16">
        <v>9464</v>
      </c>
      <c r="I125" s="16">
        <v>587.9</v>
      </c>
      <c r="J125" s="19">
        <v>0.64100000000000001</v>
      </c>
      <c r="K125" s="16">
        <v>69.599999999999994</v>
      </c>
      <c r="L125" s="19">
        <v>0.91700000000000004</v>
      </c>
      <c r="M125" s="19">
        <v>2.3E-2</v>
      </c>
      <c r="N125" s="21">
        <v>76821.27</v>
      </c>
      <c r="O125" s="21">
        <v>50284.6</v>
      </c>
      <c r="P125" s="26">
        <v>26536.67</v>
      </c>
    </row>
    <row r="126" spans="1:16" x14ac:dyDescent="0.3">
      <c r="A126" s="25">
        <v>125</v>
      </c>
      <c r="B126" s="16" t="s">
        <v>43</v>
      </c>
      <c r="C126" s="16">
        <v>2024</v>
      </c>
      <c r="D126" s="16" t="s">
        <v>26</v>
      </c>
      <c r="E126" s="16" t="s">
        <v>32</v>
      </c>
      <c r="F126" s="16" t="s">
        <v>28</v>
      </c>
      <c r="G126" s="16">
        <v>30</v>
      </c>
      <c r="H126" s="16">
        <v>5807</v>
      </c>
      <c r="I126" s="16">
        <v>392.5</v>
      </c>
      <c r="J126" s="19">
        <v>0.77600000000000002</v>
      </c>
      <c r="K126" s="16">
        <v>79.2</v>
      </c>
      <c r="L126" s="19">
        <v>0.878</v>
      </c>
      <c r="M126" s="19">
        <v>2.4E-2</v>
      </c>
      <c r="N126" s="21">
        <v>35302.36</v>
      </c>
      <c r="O126" s="21">
        <v>22458.21</v>
      </c>
      <c r="P126" s="26">
        <v>12844.15</v>
      </c>
    </row>
    <row r="127" spans="1:16" x14ac:dyDescent="0.3">
      <c r="A127" s="25">
        <v>126</v>
      </c>
      <c r="B127" s="16" t="s">
        <v>43</v>
      </c>
      <c r="C127" s="16">
        <v>2024</v>
      </c>
      <c r="D127" s="16" t="s">
        <v>26</v>
      </c>
      <c r="E127" s="16" t="s">
        <v>27</v>
      </c>
      <c r="F127" s="16" t="s">
        <v>28</v>
      </c>
      <c r="G127" s="16">
        <v>45</v>
      </c>
      <c r="H127" s="16">
        <v>7525</v>
      </c>
      <c r="I127" s="16">
        <v>358.6</v>
      </c>
      <c r="J127" s="19">
        <v>0.83499999999999996</v>
      </c>
      <c r="K127" s="16">
        <v>84.5</v>
      </c>
      <c r="L127" s="19">
        <v>0.83699999999999997</v>
      </c>
      <c r="M127" s="19">
        <v>5.0999999999999997E-2</v>
      </c>
      <c r="N127" s="21">
        <v>60026.33</v>
      </c>
      <c r="O127" s="21">
        <v>45731.46</v>
      </c>
      <c r="P127" s="26">
        <v>14294.87</v>
      </c>
    </row>
    <row r="128" spans="1:16" x14ac:dyDescent="0.3">
      <c r="A128" s="25">
        <v>127</v>
      </c>
      <c r="B128" s="16" t="s">
        <v>43</v>
      </c>
      <c r="C128" s="16">
        <v>2024</v>
      </c>
      <c r="D128" s="16" t="s">
        <v>26</v>
      </c>
      <c r="E128" s="16" t="s">
        <v>32</v>
      </c>
      <c r="F128" s="16" t="s">
        <v>29</v>
      </c>
      <c r="G128" s="16">
        <v>58</v>
      </c>
      <c r="H128" s="16">
        <v>11688</v>
      </c>
      <c r="I128" s="16">
        <v>298.8</v>
      </c>
      <c r="J128" s="19">
        <v>0.64</v>
      </c>
      <c r="K128" s="16">
        <v>77</v>
      </c>
      <c r="L128" s="19">
        <v>0.95199999999999996</v>
      </c>
      <c r="M128" s="19">
        <v>2.8000000000000001E-2</v>
      </c>
      <c r="N128" s="21">
        <v>58775.88</v>
      </c>
      <c r="O128" s="21">
        <v>37730.44</v>
      </c>
      <c r="P128" s="26">
        <v>21045.439999999999</v>
      </c>
    </row>
    <row r="129" spans="1:16" x14ac:dyDescent="0.3">
      <c r="A129" s="25">
        <v>128</v>
      </c>
      <c r="B129" s="16" t="s">
        <v>43</v>
      </c>
      <c r="C129" s="16">
        <v>2024</v>
      </c>
      <c r="D129" s="16" t="s">
        <v>26</v>
      </c>
      <c r="E129" s="16" t="s">
        <v>35</v>
      </c>
      <c r="F129" s="16" t="s">
        <v>29</v>
      </c>
      <c r="G129" s="16">
        <v>30</v>
      </c>
      <c r="H129" s="16">
        <v>5498</v>
      </c>
      <c r="I129" s="16">
        <v>221.6</v>
      </c>
      <c r="J129" s="19">
        <v>0.77400000000000002</v>
      </c>
      <c r="K129" s="16">
        <v>73</v>
      </c>
      <c r="L129" s="19">
        <v>0.97</v>
      </c>
      <c r="M129" s="19">
        <v>2.8000000000000001E-2</v>
      </c>
      <c r="N129" s="21">
        <v>34387</v>
      </c>
      <c r="O129" s="21">
        <v>23938.95</v>
      </c>
      <c r="P129" s="26">
        <v>10448.049999999999</v>
      </c>
    </row>
    <row r="130" spans="1:16" x14ac:dyDescent="0.3">
      <c r="A130" s="25">
        <v>129</v>
      </c>
      <c r="B130" s="16" t="s">
        <v>43</v>
      </c>
      <c r="C130" s="16">
        <v>2024</v>
      </c>
      <c r="D130" s="16" t="s">
        <v>26</v>
      </c>
      <c r="E130" s="16" t="s">
        <v>34</v>
      </c>
      <c r="F130" s="16" t="s">
        <v>33</v>
      </c>
      <c r="G130" s="16">
        <v>34</v>
      </c>
      <c r="H130" s="16">
        <v>7069</v>
      </c>
      <c r="I130" s="16">
        <v>455.8</v>
      </c>
      <c r="J130" s="19">
        <v>0.85</v>
      </c>
      <c r="K130" s="16">
        <v>87.4</v>
      </c>
      <c r="L130" s="19">
        <v>1</v>
      </c>
      <c r="M130" s="19">
        <v>2.3E-2</v>
      </c>
      <c r="N130" s="21">
        <v>43386.65</v>
      </c>
      <c r="O130" s="21">
        <v>31476.87</v>
      </c>
      <c r="P130" s="26">
        <v>11909.78</v>
      </c>
    </row>
    <row r="131" spans="1:16" x14ac:dyDescent="0.3">
      <c r="A131" s="25">
        <v>130</v>
      </c>
      <c r="B131" s="16" t="s">
        <v>43</v>
      </c>
      <c r="C131" s="16">
        <v>2024</v>
      </c>
      <c r="D131" s="16" t="s">
        <v>26</v>
      </c>
      <c r="E131" s="16" t="s">
        <v>31</v>
      </c>
      <c r="F131" s="16" t="s">
        <v>33</v>
      </c>
      <c r="G131" s="16">
        <v>64</v>
      </c>
      <c r="H131" s="16">
        <v>14074</v>
      </c>
      <c r="I131" s="16">
        <v>481.3</v>
      </c>
      <c r="J131" s="19">
        <v>0.69499999999999995</v>
      </c>
      <c r="K131" s="16">
        <v>86.3</v>
      </c>
      <c r="L131" s="19">
        <v>1</v>
      </c>
      <c r="M131" s="19">
        <v>2.1000000000000001E-2</v>
      </c>
      <c r="N131" s="21">
        <v>78471.23</v>
      </c>
      <c r="O131" s="21">
        <v>49175.38</v>
      </c>
      <c r="P131" s="26">
        <v>29295.85</v>
      </c>
    </row>
    <row r="132" spans="1:16" x14ac:dyDescent="0.3">
      <c r="A132" s="25">
        <v>131</v>
      </c>
      <c r="B132" s="16" t="s">
        <v>43</v>
      </c>
      <c r="C132" s="16">
        <v>2024</v>
      </c>
      <c r="D132" s="16" t="s">
        <v>26</v>
      </c>
      <c r="E132" s="16" t="s">
        <v>32</v>
      </c>
      <c r="F132" s="16" t="s">
        <v>36</v>
      </c>
      <c r="G132" s="16">
        <v>32</v>
      </c>
      <c r="H132" s="16">
        <v>6843</v>
      </c>
      <c r="I132" s="16">
        <v>860.8</v>
      </c>
      <c r="J132" s="19">
        <v>0.62</v>
      </c>
      <c r="K132" s="16">
        <v>86.4</v>
      </c>
      <c r="L132" s="19">
        <v>0.873</v>
      </c>
      <c r="M132" s="19">
        <v>0.04</v>
      </c>
      <c r="N132" s="21">
        <v>33516.06</v>
      </c>
      <c r="O132" s="21">
        <v>21307.61</v>
      </c>
      <c r="P132" s="26">
        <v>12208.45</v>
      </c>
    </row>
    <row r="133" spans="1:16" x14ac:dyDescent="0.3">
      <c r="A133" s="25">
        <v>132</v>
      </c>
      <c r="B133" s="16" t="s">
        <v>43</v>
      </c>
      <c r="C133" s="16">
        <v>2024</v>
      </c>
      <c r="D133" s="16" t="s">
        <v>26</v>
      </c>
      <c r="E133" s="16" t="s">
        <v>27</v>
      </c>
      <c r="F133" s="16" t="s">
        <v>36</v>
      </c>
      <c r="G133" s="16">
        <v>33</v>
      </c>
      <c r="H133" s="16">
        <v>6739</v>
      </c>
      <c r="I133" s="16">
        <v>924.3</v>
      </c>
      <c r="J133" s="19">
        <v>0.77900000000000003</v>
      </c>
      <c r="K133" s="16">
        <v>76.7</v>
      </c>
      <c r="L133" s="19">
        <v>0.91700000000000004</v>
      </c>
      <c r="M133" s="19">
        <v>2.3E-2</v>
      </c>
      <c r="N133" s="21">
        <v>37634.769999999997</v>
      </c>
      <c r="O133" s="21">
        <v>27998.06</v>
      </c>
      <c r="P133" s="26">
        <v>9636.7099999999991</v>
      </c>
    </row>
    <row r="134" spans="1:16" x14ac:dyDescent="0.3">
      <c r="A134" s="25">
        <v>133</v>
      </c>
      <c r="B134" s="16" t="s">
        <v>43</v>
      </c>
      <c r="C134" s="16">
        <v>2024</v>
      </c>
      <c r="D134" s="16" t="s">
        <v>26</v>
      </c>
      <c r="E134" s="16" t="s">
        <v>30</v>
      </c>
      <c r="F134" s="16" t="s">
        <v>36</v>
      </c>
      <c r="G134" s="16">
        <v>36</v>
      </c>
      <c r="H134" s="16">
        <v>6655</v>
      </c>
      <c r="I134" s="16">
        <v>958.2</v>
      </c>
      <c r="J134" s="19">
        <v>0.80800000000000005</v>
      </c>
      <c r="K134" s="16">
        <v>86.7</v>
      </c>
      <c r="L134" s="19">
        <v>0.84899999999999998</v>
      </c>
      <c r="M134" s="19">
        <v>3.4000000000000002E-2</v>
      </c>
      <c r="N134" s="21">
        <v>50626.63</v>
      </c>
      <c r="O134" s="21">
        <v>34128.57</v>
      </c>
      <c r="P134" s="26">
        <v>16498.060000000001</v>
      </c>
    </row>
    <row r="135" spans="1:16" x14ac:dyDescent="0.3">
      <c r="A135" s="25">
        <v>134</v>
      </c>
      <c r="B135" s="16" t="s">
        <v>43</v>
      </c>
      <c r="C135" s="16">
        <v>2024</v>
      </c>
      <c r="D135" s="16" t="s">
        <v>26</v>
      </c>
      <c r="E135" s="16" t="s">
        <v>34</v>
      </c>
      <c r="F135" s="16" t="s">
        <v>36</v>
      </c>
      <c r="G135" s="16">
        <v>36</v>
      </c>
      <c r="H135" s="16">
        <v>5563</v>
      </c>
      <c r="I135" s="16">
        <v>830.5</v>
      </c>
      <c r="J135" s="19">
        <v>0.58299999999999996</v>
      </c>
      <c r="K135" s="16">
        <v>85.9</v>
      </c>
      <c r="L135" s="19">
        <v>0.871</v>
      </c>
      <c r="M135" s="19">
        <v>2.9000000000000001E-2</v>
      </c>
      <c r="N135" s="21">
        <v>36730.269999999997</v>
      </c>
      <c r="O135" s="21">
        <v>23933.27</v>
      </c>
      <c r="P135" s="26">
        <v>12797</v>
      </c>
    </row>
    <row r="136" spans="1:16" x14ac:dyDescent="0.3">
      <c r="A136" s="25">
        <v>135</v>
      </c>
      <c r="B136" s="16" t="s">
        <v>43</v>
      </c>
      <c r="C136" s="16">
        <v>2024</v>
      </c>
      <c r="D136" s="16" t="s">
        <v>26</v>
      </c>
      <c r="E136" s="16" t="s">
        <v>31</v>
      </c>
      <c r="F136" s="16" t="s">
        <v>36</v>
      </c>
      <c r="G136" s="16">
        <v>24</v>
      </c>
      <c r="H136" s="16">
        <v>4919</v>
      </c>
      <c r="I136" s="16">
        <v>912.2</v>
      </c>
      <c r="J136" s="19">
        <v>0.71599999999999997</v>
      </c>
      <c r="K136" s="16">
        <v>87.2</v>
      </c>
      <c r="L136" s="19">
        <v>0.97299999999999998</v>
      </c>
      <c r="M136" s="19">
        <v>0.02</v>
      </c>
      <c r="N136" s="21">
        <v>28939.88</v>
      </c>
      <c r="O136" s="21">
        <v>21315.91</v>
      </c>
      <c r="P136" s="26">
        <v>7623.97</v>
      </c>
    </row>
    <row r="137" spans="1:16" x14ac:dyDescent="0.3">
      <c r="A137" s="25">
        <v>136</v>
      </c>
      <c r="B137" s="16" t="s">
        <v>43</v>
      </c>
      <c r="C137" s="16">
        <v>2024</v>
      </c>
      <c r="D137" s="16" t="s">
        <v>26</v>
      </c>
      <c r="E137" s="16" t="s">
        <v>35</v>
      </c>
      <c r="F137" s="16" t="s">
        <v>36</v>
      </c>
      <c r="G137" s="16">
        <v>29</v>
      </c>
      <c r="H137" s="16">
        <v>5671</v>
      </c>
      <c r="I137" s="16">
        <v>913.1</v>
      </c>
      <c r="J137" s="19">
        <v>0.70199999999999996</v>
      </c>
      <c r="K137" s="16">
        <v>82.5</v>
      </c>
      <c r="L137" s="19">
        <v>0.94899999999999995</v>
      </c>
      <c r="M137" s="19">
        <v>2.7E-2</v>
      </c>
      <c r="N137" s="21">
        <v>37924.15</v>
      </c>
      <c r="O137" s="21">
        <v>24808.53</v>
      </c>
      <c r="P137" s="26">
        <v>13115.62</v>
      </c>
    </row>
    <row r="138" spans="1:16" x14ac:dyDescent="0.3">
      <c r="A138" s="25">
        <v>137</v>
      </c>
      <c r="B138" s="16" t="s">
        <v>43</v>
      </c>
      <c r="C138" s="16">
        <v>2024</v>
      </c>
      <c r="D138" s="16" t="s">
        <v>26</v>
      </c>
      <c r="E138" s="16" t="s">
        <v>27</v>
      </c>
      <c r="F138" s="16" t="s">
        <v>37</v>
      </c>
      <c r="G138" s="16">
        <v>49</v>
      </c>
      <c r="H138" s="16">
        <v>10934</v>
      </c>
      <c r="I138" s="16">
        <v>669.6</v>
      </c>
      <c r="J138" s="19">
        <v>0.83599999999999997</v>
      </c>
      <c r="K138" s="16">
        <v>82.8</v>
      </c>
      <c r="L138" s="19">
        <v>0.94499999999999995</v>
      </c>
      <c r="M138" s="19">
        <v>0.01</v>
      </c>
      <c r="N138" s="21">
        <v>70860.509999999995</v>
      </c>
      <c r="O138" s="21">
        <v>51147.58</v>
      </c>
      <c r="P138" s="26">
        <v>19712.93</v>
      </c>
    </row>
    <row r="139" spans="1:16" x14ac:dyDescent="0.3">
      <c r="A139" s="25">
        <v>138</v>
      </c>
      <c r="B139" s="16" t="s">
        <v>43</v>
      </c>
      <c r="C139" s="16">
        <v>2024</v>
      </c>
      <c r="D139" s="16" t="s">
        <v>26</v>
      </c>
      <c r="E139" s="16" t="s">
        <v>30</v>
      </c>
      <c r="F139" s="16" t="s">
        <v>37</v>
      </c>
      <c r="G139" s="16">
        <v>42</v>
      </c>
      <c r="H139" s="16">
        <v>6545</v>
      </c>
      <c r="I139" s="16">
        <v>651.6</v>
      </c>
      <c r="J139" s="19">
        <v>0.629</v>
      </c>
      <c r="K139" s="16">
        <v>77.099999999999994</v>
      </c>
      <c r="L139" s="19">
        <v>1</v>
      </c>
      <c r="M139" s="19">
        <v>3.4000000000000002E-2</v>
      </c>
      <c r="N139" s="21">
        <v>49750.99</v>
      </c>
      <c r="O139" s="21">
        <v>35748.959999999999</v>
      </c>
      <c r="P139" s="26">
        <v>14002.03</v>
      </c>
    </row>
    <row r="140" spans="1:16" x14ac:dyDescent="0.3">
      <c r="A140" s="25">
        <v>139</v>
      </c>
      <c r="B140" s="16" t="s">
        <v>43</v>
      </c>
      <c r="C140" s="16">
        <v>2024</v>
      </c>
      <c r="D140" s="16" t="s">
        <v>26</v>
      </c>
      <c r="E140" s="16" t="s">
        <v>35</v>
      </c>
      <c r="F140" s="16" t="s">
        <v>37</v>
      </c>
      <c r="G140" s="16">
        <v>42</v>
      </c>
      <c r="H140" s="16">
        <v>7742</v>
      </c>
      <c r="I140" s="16">
        <v>628.6</v>
      </c>
      <c r="J140" s="19">
        <v>0.71899999999999997</v>
      </c>
      <c r="K140" s="16">
        <v>79.400000000000006</v>
      </c>
      <c r="L140" s="19">
        <v>0.84699999999999998</v>
      </c>
      <c r="M140" s="19">
        <v>3.2000000000000001E-2</v>
      </c>
      <c r="N140" s="21">
        <v>48691.46</v>
      </c>
      <c r="O140" s="21">
        <v>32569.56</v>
      </c>
      <c r="P140" s="26">
        <v>16121.9</v>
      </c>
    </row>
    <row r="141" spans="1:16" x14ac:dyDescent="0.3">
      <c r="A141" s="25">
        <v>140</v>
      </c>
      <c r="B141" s="16" t="s">
        <v>43</v>
      </c>
      <c r="C141" s="16">
        <v>2024</v>
      </c>
      <c r="D141" s="16" t="s">
        <v>38</v>
      </c>
      <c r="E141" s="16" t="s">
        <v>32</v>
      </c>
      <c r="F141" s="16" t="s">
        <v>28</v>
      </c>
      <c r="G141" s="16">
        <v>70</v>
      </c>
      <c r="H141" s="16">
        <v>12236</v>
      </c>
      <c r="I141" s="16">
        <v>429</v>
      </c>
      <c r="J141" s="19">
        <v>0.83599999999999997</v>
      </c>
      <c r="K141" s="16">
        <v>76.900000000000006</v>
      </c>
      <c r="L141" s="19">
        <v>0.80800000000000005</v>
      </c>
      <c r="M141" s="19">
        <v>1.4E-2</v>
      </c>
      <c r="N141" s="21">
        <v>123033.7</v>
      </c>
      <c r="O141" s="21">
        <v>91914.98</v>
      </c>
      <c r="P141" s="26">
        <v>31118.720000000001</v>
      </c>
    </row>
    <row r="142" spans="1:16" x14ac:dyDescent="0.3">
      <c r="A142" s="25">
        <v>141</v>
      </c>
      <c r="B142" s="16" t="s">
        <v>43</v>
      </c>
      <c r="C142" s="16">
        <v>2024</v>
      </c>
      <c r="D142" s="16" t="s">
        <v>38</v>
      </c>
      <c r="E142" s="16" t="s">
        <v>30</v>
      </c>
      <c r="F142" s="16" t="s">
        <v>28</v>
      </c>
      <c r="G142" s="16">
        <v>78</v>
      </c>
      <c r="H142" s="16">
        <v>13820</v>
      </c>
      <c r="I142" s="16">
        <v>425.1</v>
      </c>
      <c r="J142" s="19">
        <v>0.73899999999999999</v>
      </c>
      <c r="K142" s="16">
        <v>93.3</v>
      </c>
      <c r="L142" s="19">
        <v>0.998</v>
      </c>
      <c r="M142" s="19">
        <v>5.0999999999999997E-2</v>
      </c>
      <c r="N142" s="21">
        <v>120895.42</v>
      </c>
      <c r="O142" s="21">
        <v>90526.28</v>
      </c>
      <c r="P142" s="26">
        <v>30369.14</v>
      </c>
    </row>
    <row r="143" spans="1:16" x14ac:dyDescent="0.3">
      <c r="A143" s="25">
        <v>142</v>
      </c>
      <c r="B143" s="16" t="s">
        <v>43</v>
      </c>
      <c r="C143" s="16">
        <v>2024</v>
      </c>
      <c r="D143" s="16" t="s">
        <v>38</v>
      </c>
      <c r="E143" s="16" t="s">
        <v>31</v>
      </c>
      <c r="F143" s="16" t="s">
        <v>28</v>
      </c>
      <c r="G143" s="16">
        <v>32</v>
      </c>
      <c r="H143" s="16">
        <v>5885</v>
      </c>
      <c r="I143" s="16">
        <v>413.2</v>
      </c>
      <c r="J143" s="19">
        <v>0.753</v>
      </c>
      <c r="K143" s="16">
        <v>87.5</v>
      </c>
      <c r="L143" s="19">
        <v>0.90500000000000003</v>
      </c>
      <c r="M143" s="19">
        <v>4.2000000000000003E-2</v>
      </c>
      <c r="N143" s="21">
        <v>53430.52</v>
      </c>
      <c r="O143" s="21">
        <v>36890.129999999997</v>
      </c>
      <c r="P143" s="26">
        <v>16540.39</v>
      </c>
    </row>
    <row r="144" spans="1:16" x14ac:dyDescent="0.3">
      <c r="A144" s="25">
        <v>143</v>
      </c>
      <c r="B144" s="16" t="s">
        <v>43</v>
      </c>
      <c r="C144" s="16">
        <v>2024</v>
      </c>
      <c r="D144" s="16" t="s">
        <v>38</v>
      </c>
      <c r="E144" s="16" t="s">
        <v>31</v>
      </c>
      <c r="F144" s="16" t="s">
        <v>29</v>
      </c>
      <c r="G144" s="16">
        <v>47</v>
      </c>
      <c r="H144" s="16">
        <v>9271</v>
      </c>
      <c r="I144" s="16">
        <v>374.5</v>
      </c>
      <c r="J144" s="19">
        <v>0.58499999999999996</v>
      </c>
      <c r="K144" s="16">
        <v>79.3</v>
      </c>
      <c r="L144" s="19">
        <v>0.96899999999999997</v>
      </c>
      <c r="M144" s="19">
        <v>3.5000000000000003E-2</v>
      </c>
      <c r="N144" s="21">
        <v>52651.35</v>
      </c>
      <c r="O144" s="21">
        <v>35877.33</v>
      </c>
      <c r="P144" s="26">
        <v>16774.02</v>
      </c>
    </row>
    <row r="145" spans="1:16" x14ac:dyDescent="0.3">
      <c r="A145" s="25">
        <v>144</v>
      </c>
      <c r="B145" s="16" t="s">
        <v>43</v>
      </c>
      <c r="C145" s="16">
        <v>2024</v>
      </c>
      <c r="D145" s="16" t="s">
        <v>38</v>
      </c>
      <c r="E145" s="16" t="s">
        <v>35</v>
      </c>
      <c r="F145" s="16" t="s">
        <v>29</v>
      </c>
      <c r="G145" s="16">
        <v>26</v>
      </c>
      <c r="H145" s="16">
        <v>4992</v>
      </c>
      <c r="I145" s="16">
        <v>243.6</v>
      </c>
      <c r="J145" s="19">
        <v>0.57999999999999996</v>
      </c>
      <c r="K145" s="16">
        <v>78.400000000000006</v>
      </c>
      <c r="L145" s="19">
        <v>0.78600000000000003</v>
      </c>
      <c r="M145" s="19">
        <v>0.04</v>
      </c>
      <c r="N145" s="21">
        <v>30886.51</v>
      </c>
      <c r="O145" s="21">
        <v>23798.32</v>
      </c>
      <c r="P145" s="26">
        <v>7088.19</v>
      </c>
    </row>
    <row r="146" spans="1:16" x14ac:dyDescent="0.3">
      <c r="A146" s="25">
        <v>145</v>
      </c>
      <c r="B146" s="16" t="s">
        <v>43</v>
      </c>
      <c r="C146" s="16">
        <v>2024</v>
      </c>
      <c r="D146" s="16" t="s">
        <v>38</v>
      </c>
      <c r="E146" s="16" t="s">
        <v>30</v>
      </c>
      <c r="F146" s="16" t="s">
        <v>33</v>
      </c>
      <c r="G146" s="16">
        <v>39</v>
      </c>
      <c r="H146" s="16">
        <v>7536</v>
      </c>
      <c r="I146" s="16">
        <v>472.3</v>
      </c>
      <c r="J146" s="19">
        <v>0.82299999999999995</v>
      </c>
      <c r="K146" s="16">
        <v>80.400000000000006</v>
      </c>
      <c r="L146" s="19">
        <v>0.91200000000000003</v>
      </c>
      <c r="M146" s="19">
        <v>3.1E-2</v>
      </c>
      <c r="N146" s="21">
        <v>54849.51</v>
      </c>
      <c r="O146" s="21">
        <v>38363.599999999999</v>
      </c>
      <c r="P146" s="26">
        <v>16485.91</v>
      </c>
    </row>
    <row r="147" spans="1:16" x14ac:dyDescent="0.3">
      <c r="A147" s="25">
        <v>146</v>
      </c>
      <c r="B147" s="16" t="s">
        <v>43</v>
      </c>
      <c r="C147" s="16">
        <v>2024</v>
      </c>
      <c r="D147" s="16" t="s">
        <v>38</v>
      </c>
      <c r="E147" s="16" t="s">
        <v>31</v>
      </c>
      <c r="F147" s="16" t="s">
        <v>33</v>
      </c>
      <c r="G147" s="16">
        <v>35</v>
      </c>
      <c r="H147" s="16">
        <v>6817</v>
      </c>
      <c r="I147" s="16">
        <v>440.1</v>
      </c>
      <c r="J147" s="19">
        <v>0.75800000000000001</v>
      </c>
      <c r="K147" s="16">
        <v>89.8</v>
      </c>
      <c r="L147" s="19">
        <v>0.89400000000000002</v>
      </c>
      <c r="M147" s="19">
        <v>4.3999999999999997E-2</v>
      </c>
      <c r="N147" s="21">
        <v>47526.86</v>
      </c>
      <c r="O147" s="21">
        <v>31456.74</v>
      </c>
      <c r="P147" s="26">
        <v>16070.12</v>
      </c>
    </row>
    <row r="148" spans="1:16" x14ac:dyDescent="0.3">
      <c r="A148" s="25">
        <v>147</v>
      </c>
      <c r="B148" s="16" t="s">
        <v>43</v>
      </c>
      <c r="C148" s="16">
        <v>2024</v>
      </c>
      <c r="D148" s="16" t="s">
        <v>38</v>
      </c>
      <c r="E148" s="16" t="s">
        <v>32</v>
      </c>
      <c r="F148" s="16" t="s">
        <v>36</v>
      </c>
      <c r="G148" s="16">
        <v>32</v>
      </c>
      <c r="H148" s="16">
        <v>5208</v>
      </c>
      <c r="I148" s="16">
        <v>887.8</v>
      </c>
      <c r="J148" s="19">
        <v>0.79400000000000004</v>
      </c>
      <c r="K148" s="16">
        <v>82.4</v>
      </c>
      <c r="L148" s="19">
        <v>0.90600000000000003</v>
      </c>
      <c r="M148" s="19">
        <v>3.2000000000000001E-2</v>
      </c>
      <c r="N148" s="21">
        <v>39086.550000000003</v>
      </c>
      <c r="O148" s="21">
        <v>26804.59</v>
      </c>
      <c r="P148" s="26">
        <v>12281.96</v>
      </c>
    </row>
    <row r="149" spans="1:16" x14ac:dyDescent="0.3">
      <c r="A149" s="25">
        <v>148</v>
      </c>
      <c r="B149" s="16" t="s">
        <v>43</v>
      </c>
      <c r="C149" s="16">
        <v>2024</v>
      </c>
      <c r="D149" s="16" t="s">
        <v>38</v>
      </c>
      <c r="E149" s="16" t="s">
        <v>30</v>
      </c>
      <c r="F149" s="16" t="s">
        <v>36</v>
      </c>
      <c r="G149" s="16">
        <v>46</v>
      </c>
      <c r="H149" s="16">
        <v>9009</v>
      </c>
      <c r="I149" s="16">
        <v>837.5</v>
      </c>
      <c r="J149" s="19">
        <v>0.66800000000000004</v>
      </c>
      <c r="K149" s="16">
        <v>89</v>
      </c>
      <c r="L149" s="19">
        <v>0.91800000000000004</v>
      </c>
      <c r="M149" s="19">
        <v>1.9E-2</v>
      </c>
      <c r="N149" s="21">
        <v>47916.61</v>
      </c>
      <c r="O149" s="21">
        <v>33265.11</v>
      </c>
      <c r="P149" s="26">
        <v>14651.5</v>
      </c>
    </row>
    <row r="150" spans="1:16" x14ac:dyDescent="0.3">
      <c r="A150" s="25">
        <v>149</v>
      </c>
      <c r="B150" s="16" t="s">
        <v>43</v>
      </c>
      <c r="C150" s="16">
        <v>2024</v>
      </c>
      <c r="D150" s="16" t="s">
        <v>38</v>
      </c>
      <c r="E150" s="16" t="s">
        <v>34</v>
      </c>
      <c r="F150" s="16" t="s">
        <v>36</v>
      </c>
      <c r="G150" s="16">
        <v>20</v>
      </c>
      <c r="H150" s="16">
        <v>4215</v>
      </c>
      <c r="I150" s="16">
        <v>870.6</v>
      </c>
      <c r="J150" s="19">
        <v>0.65100000000000002</v>
      </c>
      <c r="K150" s="16">
        <v>86</v>
      </c>
      <c r="L150" s="19">
        <v>0.83899999999999997</v>
      </c>
      <c r="M150" s="19">
        <v>4.2999999999999997E-2</v>
      </c>
      <c r="N150" s="21">
        <v>25327.81</v>
      </c>
      <c r="O150" s="21">
        <v>19188.91</v>
      </c>
      <c r="P150" s="26">
        <v>6138.9</v>
      </c>
    </row>
    <row r="151" spans="1:16" x14ac:dyDescent="0.3">
      <c r="A151" s="25">
        <v>150</v>
      </c>
      <c r="B151" s="16" t="s">
        <v>43</v>
      </c>
      <c r="C151" s="16">
        <v>2024</v>
      </c>
      <c r="D151" s="16" t="s">
        <v>38</v>
      </c>
      <c r="E151" s="16" t="s">
        <v>31</v>
      </c>
      <c r="F151" s="16" t="s">
        <v>36</v>
      </c>
      <c r="G151" s="16">
        <v>47</v>
      </c>
      <c r="H151" s="16">
        <v>8251</v>
      </c>
      <c r="I151" s="16">
        <v>866.9</v>
      </c>
      <c r="J151" s="19">
        <v>0.70499999999999996</v>
      </c>
      <c r="K151" s="16">
        <v>79.599999999999994</v>
      </c>
      <c r="L151" s="19">
        <v>0.92600000000000005</v>
      </c>
      <c r="M151" s="19">
        <v>3.0000000000000001E-3</v>
      </c>
      <c r="N151" s="21">
        <v>70047.48</v>
      </c>
      <c r="O151" s="21">
        <v>48610.66</v>
      </c>
      <c r="P151" s="26">
        <v>21436.82</v>
      </c>
    </row>
    <row r="152" spans="1:16" x14ac:dyDescent="0.3">
      <c r="A152" s="25">
        <v>151</v>
      </c>
      <c r="B152" s="16" t="s">
        <v>43</v>
      </c>
      <c r="C152" s="16">
        <v>2024</v>
      </c>
      <c r="D152" s="16" t="s">
        <v>38</v>
      </c>
      <c r="E152" s="16" t="s">
        <v>32</v>
      </c>
      <c r="F152" s="16" t="s">
        <v>37</v>
      </c>
      <c r="G152" s="16">
        <v>34</v>
      </c>
      <c r="H152" s="16">
        <v>6313</v>
      </c>
      <c r="I152" s="16">
        <v>715.9</v>
      </c>
      <c r="J152" s="19">
        <v>0.68300000000000005</v>
      </c>
      <c r="K152" s="16">
        <v>78.8</v>
      </c>
      <c r="L152" s="19">
        <v>0.86199999999999999</v>
      </c>
      <c r="M152" s="19">
        <v>3.1E-2</v>
      </c>
      <c r="N152" s="21">
        <v>47761.96</v>
      </c>
      <c r="O152" s="21">
        <v>31588.77</v>
      </c>
      <c r="P152" s="26">
        <v>16173.19</v>
      </c>
    </row>
    <row r="153" spans="1:16" x14ac:dyDescent="0.3">
      <c r="A153" s="25">
        <v>152</v>
      </c>
      <c r="B153" s="16" t="s">
        <v>43</v>
      </c>
      <c r="C153" s="16">
        <v>2024</v>
      </c>
      <c r="D153" s="16" t="s">
        <v>38</v>
      </c>
      <c r="E153" s="16" t="s">
        <v>34</v>
      </c>
      <c r="F153" s="16" t="s">
        <v>37</v>
      </c>
      <c r="G153" s="16">
        <v>23</v>
      </c>
      <c r="H153" s="16">
        <v>4282</v>
      </c>
      <c r="I153" s="16">
        <v>645.6</v>
      </c>
      <c r="J153" s="19">
        <v>0.71099999999999997</v>
      </c>
      <c r="K153" s="16">
        <v>83.6</v>
      </c>
      <c r="L153" s="19">
        <v>0.89600000000000002</v>
      </c>
      <c r="M153" s="19">
        <v>3.2000000000000001E-2</v>
      </c>
      <c r="N153" s="21">
        <v>27605.39</v>
      </c>
      <c r="O153" s="21">
        <v>21131.24</v>
      </c>
      <c r="P153" s="26">
        <v>6474.15</v>
      </c>
    </row>
    <row r="154" spans="1:16" x14ac:dyDescent="0.3">
      <c r="A154" s="25">
        <v>153</v>
      </c>
      <c r="B154" s="16" t="s">
        <v>43</v>
      </c>
      <c r="C154" s="16">
        <v>2024</v>
      </c>
      <c r="D154" s="16" t="s">
        <v>39</v>
      </c>
      <c r="E154" s="16" t="s">
        <v>27</v>
      </c>
      <c r="F154" s="16" t="s">
        <v>28</v>
      </c>
      <c r="G154" s="16">
        <v>38</v>
      </c>
      <c r="H154" s="16">
        <v>7995</v>
      </c>
      <c r="I154" s="16">
        <v>424.5</v>
      </c>
      <c r="J154" s="19">
        <v>0.69399999999999995</v>
      </c>
      <c r="K154" s="16">
        <v>85.6</v>
      </c>
      <c r="L154" s="19">
        <v>1</v>
      </c>
      <c r="M154" s="19">
        <v>2.3E-2</v>
      </c>
      <c r="N154" s="21">
        <v>61950.6</v>
      </c>
      <c r="O154" s="21">
        <v>46318.37</v>
      </c>
      <c r="P154" s="26">
        <v>15632.23</v>
      </c>
    </row>
    <row r="155" spans="1:16" x14ac:dyDescent="0.3">
      <c r="A155" s="25">
        <v>154</v>
      </c>
      <c r="B155" s="16" t="s">
        <v>43</v>
      </c>
      <c r="C155" s="16">
        <v>2024</v>
      </c>
      <c r="D155" s="16" t="s">
        <v>39</v>
      </c>
      <c r="E155" s="16" t="s">
        <v>34</v>
      </c>
      <c r="F155" s="16" t="s">
        <v>28</v>
      </c>
      <c r="G155" s="16">
        <v>26</v>
      </c>
      <c r="H155" s="16">
        <v>4854</v>
      </c>
      <c r="I155" s="16">
        <v>459.3</v>
      </c>
      <c r="J155" s="19">
        <v>0.81899999999999995</v>
      </c>
      <c r="K155" s="16">
        <v>85.2</v>
      </c>
      <c r="L155" s="19">
        <v>0.88400000000000001</v>
      </c>
      <c r="M155" s="19">
        <v>2.5999999999999999E-2</v>
      </c>
      <c r="N155" s="21">
        <v>44362.18</v>
      </c>
      <c r="O155" s="21">
        <v>34485.54</v>
      </c>
      <c r="P155" s="26">
        <v>9876.64</v>
      </c>
    </row>
    <row r="156" spans="1:16" x14ac:dyDescent="0.3">
      <c r="A156" s="25">
        <v>155</v>
      </c>
      <c r="B156" s="16" t="s">
        <v>43</v>
      </c>
      <c r="C156" s="16">
        <v>2024</v>
      </c>
      <c r="D156" s="16" t="s">
        <v>39</v>
      </c>
      <c r="E156" s="16" t="s">
        <v>27</v>
      </c>
      <c r="F156" s="16" t="s">
        <v>29</v>
      </c>
      <c r="G156" s="16">
        <v>30</v>
      </c>
      <c r="H156" s="16">
        <v>5812</v>
      </c>
      <c r="I156" s="16">
        <v>382.5</v>
      </c>
      <c r="J156" s="19">
        <v>0.58599999999999997</v>
      </c>
      <c r="K156" s="16">
        <v>78.099999999999994</v>
      </c>
      <c r="L156" s="19">
        <v>0.89500000000000002</v>
      </c>
      <c r="M156" s="19">
        <v>4.3999999999999997E-2</v>
      </c>
      <c r="N156" s="21">
        <v>40351.72</v>
      </c>
      <c r="O156" s="21">
        <v>31371.75</v>
      </c>
      <c r="P156" s="26">
        <v>8979.9699999999993</v>
      </c>
    </row>
    <row r="157" spans="1:16" x14ac:dyDescent="0.3">
      <c r="A157" s="25">
        <v>156</v>
      </c>
      <c r="B157" s="16" t="s">
        <v>43</v>
      </c>
      <c r="C157" s="16">
        <v>2024</v>
      </c>
      <c r="D157" s="16" t="s">
        <v>39</v>
      </c>
      <c r="E157" s="16" t="s">
        <v>30</v>
      </c>
      <c r="F157" s="16" t="s">
        <v>29</v>
      </c>
      <c r="G157" s="16">
        <v>29</v>
      </c>
      <c r="H157" s="16">
        <v>5621</v>
      </c>
      <c r="I157" s="16">
        <v>292.5</v>
      </c>
      <c r="J157" s="19">
        <v>0.70899999999999996</v>
      </c>
      <c r="K157" s="16">
        <v>83.9</v>
      </c>
      <c r="L157" s="19">
        <v>0.93500000000000005</v>
      </c>
      <c r="M157" s="19">
        <v>5.6000000000000001E-2</v>
      </c>
      <c r="N157" s="21">
        <v>43708.42</v>
      </c>
      <c r="O157" s="21">
        <v>27654.54</v>
      </c>
      <c r="P157" s="26">
        <v>16053.88</v>
      </c>
    </row>
    <row r="158" spans="1:16" x14ac:dyDescent="0.3">
      <c r="A158" s="25">
        <v>157</v>
      </c>
      <c r="B158" s="16" t="s">
        <v>43</v>
      </c>
      <c r="C158" s="16">
        <v>2024</v>
      </c>
      <c r="D158" s="16" t="s">
        <v>39</v>
      </c>
      <c r="E158" s="16" t="s">
        <v>34</v>
      </c>
      <c r="F158" s="16" t="s">
        <v>29</v>
      </c>
      <c r="G158" s="16">
        <v>50</v>
      </c>
      <c r="H158" s="16">
        <v>8860</v>
      </c>
      <c r="I158" s="16">
        <v>306.7</v>
      </c>
      <c r="J158" s="19">
        <v>0.72899999999999998</v>
      </c>
      <c r="K158" s="16">
        <v>73</v>
      </c>
      <c r="L158" s="19">
        <v>0.97899999999999998</v>
      </c>
      <c r="M158" s="19">
        <v>4.1000000000000002E-2</v>
      </c>
      <c r="N158" s="21">
        <v>72392.88</v>
      </c>
      <c r="O158" s="21">
        <v>50203.19</v>
      </c>
      <c r="P158" s="26">
        <v>22189.69</v>
      </c>
    </row>
    <row r="159" spans="1:16" x14ac:dyDescent="0.3">
      <c r="A159" s="25">
        <v>158</v>
      </c>
      <c r="B159" s="16" t="s">
        <v>43</v>
      </c>
      <c r="C159" s="16">
        <v>2024</v>
      </c>
      <c r="D159" s="16" t="s">
        <v>39</v>
      </c>
      <c r="E159" s="16" t="s">
        <v>32</v>
      </c>
      <c r="F159" s="16" t="s">
        <v>33</v>
      </c>
      <c r="G159" s="16">
        <v>30</v>
      </c>
      <c r="H159" s="16">
        <v>5171</v>
      </c>
      <c r="I159" s="16">
        <v>513.6</v>
      </c>
      <c r="J159" s="19">
        <v>0.77300000000000002</v>
      </c>
      <c r="K159" s="16">
        <v>81.8</v>
      </c>
      <c r="L159" s="19">
        <v>0.876</v>
      </c>
      <c r="M159" s="19">
        <v>2.5999999999999999E-2</v>
      </c>
      <c r="N159" s="21">
        <v>40234.33</v>
      </c>
      <c r="O159" s="21">
        <v>27844.42</v>
      </c>
      <c r="P159" s="26">
        <v>12389.91</v>
      </c>
    </row>
    <row r="160" spans="1:16" x14ac:dyDescent="0.3">
      <c r="A160" s="25">
        <v>159</v>
      </c>
      <c r="B160" s="16" t="s">
        <v>43</v>
      </c>
      <c r="C160" s="16">
        <v>2024</v>
      </c>
      <c r="D160" s="16" t="s">
        <v>39</v>
      </c>
      <c r="E160" s="16" t="s">
        <v>27</v>
      </c>
      <c r="F160" s="16" t="s">
        <v>33</v>
      </c>
      <c r="G160" s="16">
        <v>63</v>
      </c>
      <c r="H160" s="16">
        <v>13796</v>
      </c>
      <c r="I160" s="16">
        <v>519.9</v>
      </c>
      <c r="J160" s="19">
        <v>0.71399999999999997</v>
      </c>
      <c r="K160" s="16">
        <v>85</v>
      </c>
      <c r="L160" s="19">
        <v>0.84599999999999997</v>
      </c>
      <c r="M160" s="19">
        <v>0.03</v>
      </c>
      <c r="N160" s="21">
        <v>95401.47</v>
      </c>
      <c r="O160" s="21">
        <v>69470.240000000005</v>
      </c>
      <c r="P160" s="26">
        <v>25931.23</v>
      </c>
    </row>
    <row r="161" spans="1:16" x14ac:dyDescent="0.3">
      <c r="A161" s="25">
        <v>160</v>
      </c>
      <c r="B161" s="16" t="s">
        <v>43</v>
      </c>
      <c r="C161" s="16">
        <v>2024</v>
      </c>
      <c r="D161" s="16" t="s">
        <v>39</v>
      </c>
      <c r="E161" s="16" t="s">
        <v>34</v>
      </c>
      <c r="F161" s="16" t="s">
        <v>33</v>
      </c>
      <c r="G161" s="16">
        <v>38</v>
      </c>
      <c r="H161" s="16">
        <v>7450</v>
      </c>
      <c r="I161" s="16">
        <v>459.6</v>
      </c>
      <c r="J161" s="19">
        <v>0.78700000000000003</v>
      </c>
      <c r="K161" s="16">
        <v>89.9</v>
      </c>
      <c r="L161" s="19">
        <v>0.78400000000000003</v>
      </c>
      <c r="M161" s="19">
        <v>0.04</v>
      </c>
      <c r="N161" s="21">
        <v>60061.99</v>
      </c>
      <c r="O161" s="21">
        <v>39281.93</v>
      </c>
      <c r="P161" s="26">
        <v>20780.060000000001</v>
      </c>
    </row>
    <row r="162" spans="1:16" x14ac:dyDescent="0.3">
      <c r="A162" s="25">
        <v>161</v>
      </c>
      <c r="B162" s="16" t="s">
        <v>43</v>
      </c>
      <c r="C162" s="16">
        <v>2024</v>
      </c>
      <c r="D162" s="16" t="s">
        <v>39</v>
      </c>
      <c r="E162" s="16" t="s">
        <v>32</v>
      </c>
      <c r="F162" s="16" t="s">
        <v>36</v>
      </c>
      <c r="G162" s="16">
        <v>55</v>
      </c>
      <c r="H162" s="16">
        <v>10964</v>
      </c>
      <c r="I162" s="16">
        <v>851.5</v>
      </c>
      <c r="J162" s="19">
        <v>0.75</v>
      </c>
      <c r="K162" s="16">
        <v>83.4</v>
      </c>
      <c r="L162" s="19">
        <v>0.84199999999999997</v>
      </c>
      <c r="M162" s="19">
        <v>3.6999999999999998E-2</v>
      </c>
      <c r="N162" s="21">
        <v>84277.55</v>
      </c>
      <c r="O162" s="21">
        <v>58280.36</v>
      </c>
      <c r="P162" s="26">
        <v>25997.19</v>
      </c>
    </row>
    <row r="163" spans="1:16" x14ac:dyDescent="0.3">
      <c r="A163" s="25">
        <v>162</v>
      </c>
      <c r="B163" s="16" t="s">
        <v>43</v>
      </c>
      <c r="C163" s="16">
        <v>2024</v>
      </c>
      <c r="D163" s="16" t="s">
        <v>39</v>
      </c>
      <c r="E163" s="16" t="s">
        <v>30</v>
      </c>
      <c r="F163" s="16" t="s">
        <v>36</v>
      </c>
      <c r="G163" s="16">
        <v>12</v>
      </c>
      <c r="H163" s="16">
        <v>2441</v>
      </c>
      <c r="I163" s="16">
        <v>878.6</v>
      </c>
      <c r="J163" s="19">
        <v>0.69499999999999995</v>
      </c>
      <c r="K163" s="16">
        <v>83.7</v>
      </c>
      <c r="L163" s="19">
        <v>0.94299999999999995</v>
      </c>
      <c r="M163" s="19">
        <v>3.2000000000000001E-2</v>
      </c>
      <c r="N163" s="21">
        <v>16053.28</v>
      </c>
      <c r="O163" s="21">
        <v>10703.6</v>
      </c>
      <c r="P163" s="26">
        <v>5349.68</v>
      </c>
    </row>
    <row r="164" spans="1:16" x14ac:dyDescent="0.3">
      <c r="A164" s="25">
        <v>163</v>
      </c>
      <c r="B164" s="16" t="s">
        <v>43</v>
      </c>
      <c r="C164" s="16">
        <v>2024</v>
      </c>
      <c r="D164" s="16" t="s">
        <v>39</v>
      </c>
      <c r="E164" s="16" t="s">
        <v>34</v>
      </c>
      <c r="F164" s="16" t="s">
        <v>36</v>
      </c>
      <c r="G164" s="16">
        <v>56</v>
      </c>
      <c r="H164" s="16">
        <v>11096</v>
      </c>
      <c r="I164" s="16">
        <v>862.6</v>
      </c>
      <c r="J164" s="19">
        <v>0.76500000000000001</v>
      </c>
      <c r="K164" s="16">
        <v>79.3</v>
      </c>
      <c r="L164" s="19">
        <v>0.92200000000000004</v>
      </c>
      <c r="M164" s="19">
        <v>3.7999999999999999E-2</v>
      </c>
      <c r="N164" s="21">
        <v>106678.83</v>
      </c>
      <c r="O164" s="21">
        <v>67788.58</v>
      </c>
      <c r="P164" s="26">
        <v>38890.25</v>
      </c>
    </row>
    <row r="165" spans="1:16" x14ac:dyDescent="0.3">
      <c r="A165" s="25">
        <v>164</v>
      </c>
      <c r="B165" s="16" t="s">
        <v>43</v>
      </c>
      <c r="C165" s="16">
        <v>2024</v>
      </c>
      <c r="D165" s="16" t="s">
        <v>39</v>
      </c>
      <c r="E165" s="16" t="s">
        <v>30</v>
      </c>
      <c r="F165" s="16" t="s">
        <v>37</v>
      </c>
      <c r="G165" s="16">
        <v>29</v>
      </c>
      <c r="H165" s="16">
        <v>4623</v>
      </c>
      <c r="I165" s="16">
        <v>698</v>
      </c>
      <c r="J165" s="19">
        <v>0.78300000000000003</v>
      </c>
      <c r="K165" s="16">
        <v>78.5</v>
      </c>
      <c r="L165" s="19">
        <v>0.90400000000000003</v>
      </c>
      <c r="M165" s="19">
        <v>2.8000000000000001E-2</v>
      </c>
      <c r="N165" s="21">
        <v>52010.33</v>
      </c>
      <c r="O165" s="21">
        <v>32776</v>
      </c>
      <c r="P165" s="26">
        <v>19234.330000000002</v>
      </c>
    </row>
    <row r="166" spans="1:16" x14ac:dyDescent="0.3">
      <c r="A166" s="25">
        <v>165</v>
      </c>
      <c r="B166" s="16" t="s">
        <v>43</v>
      </c>
      <c r="C166" s="16">
        <v>2024</v>
      </c>
      <c r="D166" s="16" t="s">
        <v>39</v>
      </c>
      <c r="E166" s="16" t="s">
        <v>34</v>
      </c>
      <c r="F166" s="16" t="s">
        <v>37</v>
      </c>
      <c r="G166" s="16">
        <v>31</v>
      </c>
      <c r="H166" s="16">
        <v>5873</v>
      </c>
      <c r="I166" s="16">
        <v>699</v>
      </c>
      <c r="J166" s="19">
        <v>0.71</v>
      </c>
      <c r="K166" s="16">
        <v>79.900000000000006</v>
      </c>
      <c r="L166" s="19">
        <v>0.73799999999999999</v>
      </c>
      <c r="M166" s="19">
        <v>0.04</v>
      </c>
      <c r="N166" s="21">
        <v>48915.21</v>
      </c>
      <c r="O166" s="21">
        <v>32807.99</v>
      </c>
      <c r="P166" s="26">
        <v>16107.22</v>
      </c>
    </row>
    <row r="167" spans="1:16" x14ac:dyDescent="0.3">
      <c r="A167" s="25">
        <v>166</v>
      </c>
      <c r="B167" s="16" t="s">
        <v>43</v>
      </c>
      <c r="C167" s="16">
        <v>2024</v>
      </c>
      <c r="D167" s="16" t="s">
        <v>39</v>
      </c>
      <c r="E167" s="16" t="s">
        <v>35</v>
      </c>
      <c r="F167" s="16" t="s">
        <v>37</v>
      </c>
      <c r="G167" s="16">
        <v>58</v>
      </c>
      <c r="H167" s="16">
        <v>10978</v>
      </c>
      <c r="I167" s="16">
        <v>744.2</v>
      </c>
      <c r="J167" s="19">
        <v>0.61299999999999999</v>
      </c>
      <c r="K167" s="16">
        <v>85.1</v>
      </c>
      <c r="L167" s="19">
        <v>0.83899999999999997</v>
      </c>
      <c r="M167" s="19">
        <v>4.7E-2</v>
      </c>
      <c r="N167" s="21">
        <v>83828.06</v>
      </c>
      <c r="O167" s="21">
        <v>58845.47</v>
      </c>
      <c r="P167" s="26">
        <v>24982.59</v>
      </c>
    </row>
    <row r="168" spans="1:16" x14ac:dyDescent="0.3">
      <c r="A168" s="25">
        <v>167</v>
      </c>
      <c r="B168" s="16" t="s">
        <v>43</v>
      </c>
      <c r="C168" s="16">
        <v>2024</v>
      </c>
      <c r="D168" s="16" t="s">
        <v>40</v>
      </c>
      <c r="E168" s="16" t="s">
        <v>34</v>
      </c>
      <c r="F168" s="16" t="s">
        <v>28</v>
      </c>
      <c r="G168" s="16">
        <v>46</v>
      </c>
      <c r="H168" s="16">
        <v>9047</v>
      </c>
      <c r="I168" s="16">
        <v>421.7</v>
      </c>
      <c r="J168" s="19">
        <v>0.88200000000000001</v>
      </c>
      <c r="K168" s="16">
        <v>79.900000000000006</v>
      </c>
      <c r="L168" s="19">
        <v>0.85499999999999998</v>
      </c>
      <c r="M168" s="19">
        <v>2.7E-2</v>
      </c>
      <c r="N168" s="21">
        <v>60798.49</v>
      </c>
      <c r="O168" s="21">
        <v>42291.37</v>
      </c>
      <c r="P168" s="26">
        <v>18507.12</v>
      </c>
    </row>
    <row r="169" spans="1:16" x14ac:dyDescent="0.3">
      <c r="A169" s="25">
        <v>168</v>
      </c>
      <c r="B169" s="16" t="s">
        <v>43</v>
      </c>
      <c r="C169" s="16">
        <v>2024</v>
      </c>
      <c r="D169" s="16" t="s">
        <v>40</v>
      </c>
      <c r="E169" s="16" t="s">
        <v>27</v>
      </c>
      <c r="F169" s="16" t="s">
        <v>29</v>
      </c>
      <c r="G169" s="16">
        <v>41</v>
      </c>
      <c r="H169" s="16">
        <v>5594</v>
      </c>
      <c r="I169" s="16">
        <v>318.10000000000002</v>
      </c>
      <c r="J169" s="19">
        <v>0.57599999999999996</v>
      </c>
      <c r="K169" s="16">
        <v>75.5</v>
      </c>
      <c r="L169" s="19">
        <v>0.88800000000000001</v>
      </c>
      <c r="M169" s="19">
        <v>1.7999999999999999E-2</v>
      </c>
      <c r="N169" s="21">
        <v>49012.71</v>
      </c>
      <c r="O169" s="21">
        <v>30447.98</v>
      </c>
      <c r="P169" s="26">
        <v>18564.73</v>
      </c>
    </row>
    <row r="170" spans="1:16" x14ac:dyDescent="0.3">
      <c r="A170" s="25">
        <v>169</v>
      </c>
      <c r="B170" s="16" t="s">
        <v>43</v>
      </c>
      <c r="C170" s="16">
        <v>2024</v>
      </c>
      <c r="D170" s="16" t="s">
        <v>40</v>
      </c>
      <c r="E170" s="16" t="s">
        <v>32</v>
      </c>
      <c r="F170" s="16" t="s">
        <v>33</v>
      </c>
      <c r="G170" s="16">
        <v>52</v>
      </c>
      <c r="H170" s="16">
        <v>12834</v>
      </c>
      <c r="I170" s="16">
        <v>495.1</v>
      </c>
      <c r="J170" s="19">
        <v>0.72899999999999998</v>
      </c>
      <c r="K170" s="16">
        <v>81.099999999999994</v>
      </c>
      <c r="L170" s="19">
        <v>0.84699999999999998</v>
      </c>
      <c r="M170" s="19">
        <v>2.3E-2</v>
      </c>
      <c r="N170" s="21">
        <v>75671.31</v>
      </c>
      <c r="O170" s="21">
        <v>51095.97</v>
      </c>
      <c r="P170" s="26">
        <v>24575.34</v>
      </c>
    </row>
    <row r="171" spans="1:16" x14ac:dyDescent="0.3">
      <c r="A171" s="25">
        <v>170</v>
      </c>
      <c r="B171" s="16" t="s">
        <v>43</v>
      </c>
      <c r="C171" s="16">
        <v>2024</v>
      </c>
      <c r="D171" s="16" t="s">
        <v>40</v>
      </c>
      <c r="E171" s="16" t="s">
        <v>30</v>
      </c>
      <c r="F171" s="16" t="s">
        <v>33</v>
      </c>
      <c r="G171" s="16">
        <v>73</v>
      </c>
      <c r="H171" s="16">
        <v>13330</v>
      </c>
      <c r="I171" s="16">
        <v>451.7</v>
      </c>
      <c r="J171" s="19">
        <v>0.64900000000000002</v>
      </c>
      <c r="K171" s="16">
        <v>76</v>
      </c>
      <c r="L171" s="19">
        <v>0.91600000000000004</v>
      </c>
      <c r="M171" s="19">
        <v>8.9999999999999993E-3</v>
      </c>
      <c r="N171" s="21">
        <v>101067.88</v>
      </c>
      <c r="O171" s="21">
        <v>72492.44</v>
      </c>
      <c r="P171" s="26">
        <v>28575.439999999999</v>
      </c>
    </row>
    <row r="172" spans="1:16" x14ac:dyDescent="0.3">
      <c r="A172" s="25">
        <v>171</v>
      </c>
      <c r="B172" s="16" t="s">
        <v>43</v>
      </c>
      <c r="C172" s="16">
        <v>2024</v>
      </c>
      <c r="D172" s="16" t="s">
        <v>40</v>
      </c>
      <c r="E172" s="16" t="s">
        <v>31</v>
      </c>
      <c r="F172" s="16" t="s">
        <v>33</v>
      </c>
      <c r="G172" s="16">
        <v>47</v>
      </c>
      <c r="H172" s="16">
        <v>7983</v>
      </c>
      <c r="I172" s="16">
        <v>451.7</v>
      </c>
      <c r="J172" s="19">
        <v>0.76100000000000001</v>
      </c>
      <c r="K172" s="16">
        <v>80.8</v>
      </c>
      <c r="L172" s="19">
        <v>0.84699999999999998</v>
      </c>
      <c r="M172" s="19">
        <v>3.0000000000000001E-3</v>
      </c>
      <c r="N172" s="21">
        <v>65145.71</v>
      </c>
      <c r="O172" s="21">
        <v>44757.16</v>
      </c>
      <c r="P172" s="26">
        <v>20388.55</v>
      </c>
    </row>
    <row r="173" spans="1:16" x14ac:dyDescent="0.3">
      <c r="A173" s="25">
        <v>172</v>
      </c>
      <c r="B173" s="16" t="s">
        <v>43</v>
      </c>
      <c r="C173" s="16">
        <v>2024</v>
      </c>
      <c r="D173" s="16" t="s">
        <v>40</v>
      </c>
      <c r="E173" s="16" t="s">
        <v>35</v>
      </c>
      <c r="F173" s="16" t="s">
        <v>33</v>
      </c>
      <c r="G173" s="16">
        <v>52</v>
      </c>
      <c r="H173" s="16">
        <v>9366</v>
      </c>
      <c r="I173" s="16">
        <v>529.1</v>
      </c>
      <c r="J173" s="19">
        <v>0.80900000000000005</v>
      </c>
      <c r="K173" s="16">
        <v>90.9</v>
      </c>
      <c r="L173" s="19">
        <v>0.91200000000000003</v>
      </c>
      <c r="M173" s="19">
        <v>8.0000000000000002E-3</v>
      </c>
      <c r="N173" s="21">
        <v>86833.04</v>
      </c>
      <c r="O173" s="21">
        <v>65975.03</v>
      </c>
      <c r="P173" s="26">
        <v>20858.009999999998</v>
      </c>
    </row>
    <row r="174" spans="1:16" x14ac:dyDescent="0.3">
      <c r="A174" s="25">
        <v>173</v>
      </c>
      <c r="B174" s="16" t="s">
        <v>43</v>
      </c>
      <c r="C174" s="16">
        <v>2024</v>
      </c>
      <c r="D174" s="16" t="s">
        <v>40</v>
      </c>
      <c r="E174" s="16" t="s">
        <v>32</v>
      </c>
      <c r="F174" s="16" t="s">
        <v>36</v>
      </c>
      <c r="G174" s="16">
        <v>45</v>
      </c>
      <c r="H174" s="16">
        <v>7509</v>
      </c>
      <c r="I174" s="16">
        <v>832.1</v>
      </c>
      <c r="J174" s="19">
        <v>0.66100000000000003</v>
      </c>
      <c r="K174" s="16">
        <v>97.4</v>
      </c>
      <c r="L174" s="19">
        <v>0.78200000000000003</v>
      </c>
      <c r="M174" s="19">
        <v>0.02</v>
      </c>
      <c r="N174" s="21">
        <v>64897.24</v>
      </c>
      <c r="O174" s="21">
        <v>47807.7</v>
      </c>
      <c r="P174" s="26">
        <v>17089.54</v>
      </c>
    </row>
    <row r="175" spans="1:16" x14ac:dyDescent="0.3">
      <c r="A175" s="25">
        <v>174</v>
      </c>
      <c r="B175" s="16" t="s">
        <v>43</v>
      </c>
      <c r="C175" s="16">
        <v>2024</v>
      </c>
      <c r="D175" s="16" t="s">
        <v>40</v>
      </c>
      <c r="E175" s="16" t="s">
        <v>27</v>
      </c>
      <c r="F175" s="16" t="s">
        <v>36</v>
      </c>
      <c r="G175" s="16">
        <v>52</v>
      </c>
      <c r="H175" s="16">
        <v>10579</v>
      </c>
      <c r="I175" s="16">
        <v>973.6</v>
      </c>
      <c r="J175" s="19">
        <v>0.65500000000000003</v>
      </c>
      <c r="K175" s="16">
        <v>79.3</v>
      </c>
      <c r="L175" s="19">
        <v>0.88400000000000001</v>
      </c>
      <c r="M175" s="19">
        <v>1.4E-2</v>
      </c>
      <c r="N175" s="21">
        <v>80999.45</v>
      </c>
      <c r="O175" s="21">
        <v>60566.6</v>
      </c>
      <c r="P175" s="26">
        <v>20432.849999999999</v>
      </c>
    </row>
    <row r="176" spans="1:16" x14ac:dyDescent="0.3">
      <c r="A176" s="25">
        <v>175</v>
      </c>
      <c r="B176" s="16" t="s">
        <v>43</v>
      </c>
      <c r="C176" s="16">
        <v>2024</v>
      </c>
      <c r="D176" s="16" t="s">
        <v>40</v>
      </c>
      <c r="E176" s="16" t="s">
        <v>30</v>
      </c>
      <c r="F176" s="16" t="s">
        <v>36</v>
      </c>
      <c r="G176" s="16">
        <v>17</v>
      </c>
      <c r="H176" s="16">
        <v>2856</v>
      </c>
      <c r="I176" s="16">
        <v>826.6</v>
      </c>
      <c r="J176" s="19">
        <v>0.77</v>
      </c>
      <c r="K176" s="16">
        <v>91.9</v>
      </c>
      <c r="L176" s="19">
        <v>0.84099999999999997</v>
      </c>
      <c r="M176" s="19">
        <v>3.3000000000000002E-2</v>
      </c>
      <c r="N176" s="21">
        <v>29833</v>
      </c>
      <c r="O176" s="21">
        <v>19292.93</v>
      </c>
      <c r="P176" s="26">
        <v>10540.07</v>
      </c>
    </row>
    <row r="177" spans="1:16" x14ac:dyDescent="0.3">
      <c r="A177" s="25">
        <v>176</v>
      </c>
      <c r="B177" s="16" t="s">
        <v>43</v>
      </c>
      <c r="C177" s="16">
        <v>2024</v>
      </c>
      <c r="D177" s="16" t="s">
        <v>40</v>
      </c>
      <c r="E177" s="16" t="s">
        <v>35</v>
      </c>
      <c r="F177" s="16" t="s">
        <v>36</v>
      </c>
      <c r="G177" s="16">
        <v>30</v>
      </c>
      <c r="H177" s="16">
        <v>5223</v>
      </c>
      <c r="I177" s="16">
        <v>902</v>
      </c>
      <c r="J177" s="19">
        <v>0.69</v>
      </c>
      <c r="K177" s="16">
        <v>76.900000000000006</v>
      </c>
      <c r="L177" s="19">
        <v>0.89100000000000001</v>
      </c>
      <c r="M177" s="19">
        <v>3.6999999999999998E-2</v>
      </c>
      <c r="N177" s="21">
        <v>36579.68</v>
      </c>
      <c r="O177" s="21">
        <v>24500.880000000001</v>
      </c>
      <c r="P177" s="26">
        <v>12078.8</v>
      </c>
    </row>
    <row r="178" spans="1:16" x14ac:dyDescent="0.3">
      <c r="A178" s="25">
        <v>177</v>
      </c>
      <c r="B178" s="16" t="s">
        <v>43</v>
      </c>
      <c r="C178" s="16">
        <v>2024</v>
      </c>
      <c r="D178" s="16" t="s">
        <v>40</v>
      </c>
      <c r="E178" s="16" t="s">
        <v>32</v>
      </c>
      <c r="F178" s="16" t="s">
        <v>37</v>
      </c>
      <c r="G178" s="16">
        <v>20</v>
      </c>
      <c r="H178" s="16">
        <v>4265</v>
      </c>
      <c r="I178" s="16">
        <v>735.7</v>
      </c>
      <c r="J178" s="19">
        <v>0.65200000000000002</v>
      </c>
      <c r="K178" s="16">
        <v>80.8</v>
      </c>
      <c r="L178" s="19">
        <v>0.9</v>
      </c>
      <c r="M178" s="19">
        <v>1.4E-2</v>
      </c>
      <c r="N178" s="21">
        <v>24292.87</v>
      </c>
      <c r="O178" s="21">
        <v>18808.580000000002</v>
      </c>
      <c r="P178" s="26">
        <v>5484.29</v>
      </c>
    </row>
    <row r="179" spans="1:16" x14ac:dyDescent="0.3">
      <c r="A179" s="25">
        <v>178</v>
      </c>
      <c r="B179" s="16" t="s">
        <v>43</v>
      </c>
      <c r="C179" s="16">
        <v>2024</v>
      </c>
      <c r="D179" s="16" t="s">
        <v>41</v>
      </c>
      <c r="E179" s="16" t="s">
        <v>27</v>
      </c>
      <c r="F179" s="16" t="s">
        <v>28</v>
      </c>
      <c r="G179" s="16">
        <v>17</v>
      </c>
      <c r="H179" s="16">
        <v>2989</v>
      </c>
      <c r="I179" s="16">
        <v>416.3</v>
      </c>
      <c r="J179" s="19">
        <v>0.79400000000000004</v>
      </c>
      <c r="K179" s="16">
        <v>87.2</v>
      </c>
      <c r="L179" s="19">
        <v>0.80800000000000005</v>
      </c>
      <c r="M179" s="19">
        <v>2.9000000000000001E-2</v>
      </c>
      <c r="N179" s="21">
        <v>26092.23</v>
      </c>
      <c r="O179" s="21">
        <v>17598.22</v>
      </c>
      <c r="P179" s="26">
        <v>8494.01</v>
      </c>
    </row>
    <row r="180" spans="1:16" x14ac:dyDescent="0.3">
      <c r="A180" s="25">
        <v>179</v>
      </c>
      <c r="B180" s="16" t="s">
        <v>43</v>
      </c>
      <c r="C180" s="16">
        <v>2024</v>
      </c>
      <c r="D180" s="16" t="s">
        <v>41</v>
      </c>
      <c r="E180" s="16" t="s">
        <v>31</v>
      </c>
      <c r="F180" s="16" t="s">
        <v>28</v>
      </c>
      <c r="G180" s="16">
        <v>68</v>
      </c>
      <c r="H180" s="16">
        <v>12903</v>
      </c>
      <c r="I180" s="16">
        <v>411.2</v>
      </c>
      <c r="J180" s="19">
        <v>0.85399999999999998</v>
      </c>
      <c r="K180" s="16">
        <v>80.7</v>
      </c>
      <c r="L180" s="19">
        <v>0.82399999999999995</v>
      </c>
      <c r="M180" s="19">
        <v>1.0999999999999999E-2</v>
      </c>
      <c r="N180" s="21">
        <v>121783.65</v>
      </c>
      <c r="O180" s="21">
        <v>94336.88</v>
      </c>
      <c r="P180" s="26">
        <v>27446.77</v>
      </c>
    </row>
    <row r="181" spans="1:16" x14ac:dyDescent="0.3">
      <c r="A181" s="25">
        <v>180</v>
      </c>
      <c r="B181" s="16" t="s">
        <v>43</v>
      </c>
      <c r="C181" s="16">
        <v>2024</v>
      </c>
      <c r="D181" s="16" t="s">
        <v>41</v>
      </c>
      <c r="E181" s="16" t="s">
        <v>35</v>
      </c>
      <c r="F181" s="16" t="s">
        <v>28</v>
      </c>
      <c r="G181" s="16">
        <v>59</v>
      </c>
      <c r="H181" s="16">
        <v>8379</v>
      </c>
      <c r="I181" s="16">
        <v>413.1</v>
      </c>
      <c r="J181" s="19">
        <v>0.71399999999999997</v>
      </c>
      <c r="K181" s="16">
        <v>85</v>
      </c>
      <c r="L181" s="19">
        <v>0.91800000000000004</v>
      </c>
      <c r="M181" s="19">
        <v>4.2999999999999997E-2</v>
      </c>
      <c r="N181" s="21">
        <v>118151.39</v>
      </c>
      <c r="O181" s="21">
        <v>84017.5</v>
      </c>
      <c r="P181" s="26">
        <v>34133.89</v>
      </c>
    </row>
    <row r="182" spans="1:16" x14ac:dyDescent="0.3">
      <c r="A182" s="25">
        <v>181</v>
      </c>
      <c r="B182" s="16" t="s">
        <v>43</v>
      </c>
      <c r="C182" s="16">
        <v>2024</v>
      </c>
      <c r="D182" s="16" t="s">
        <v>41</v>
      </c>
      <c r="E182" s="16" t="s">
        <v>32</v>
      </c>
      <c r="F182" s="16" t="s">
        <v>29</v>
      </c>
      <c r="G182" s="16">
        <v>38</v>
      </c>
      <c r="H182" s="16">
        <v>5876</v>
      </c>
      <c r="I182" s="16">
        <v>298.8</v>
      </c>
      <c r="J182" s="19">
        <v>0.61599999999999999</v>
      </c>
      <c r="K182" s="16">
        <v>75.400000000000006</v>
      </c>
      <c r="L182" s="19">
        <v>0.91600000000000004</v>
      </c>
      <c r="M182" s="19">
        <v>2.1999999999999999E-2</v>
      </c>
      <c r="N182" s="21">
        <v>76035.960000000006</v>
      </c>
      <c r="O182" s="21">
        <v>57726.13</v>
      </c>
      <c r="P182" s="26">
        <v>18309.830000000002</v>
      </c>
    </row>
    <row r="183" spans="1:16" x14ac:dyDescent="0.3">
      <c r="A183" s="25">
        <v>182</v>
      </c>
      <c r="B183" s="16" t="s">
        <v>43</v>
      </c>
      <c r="C183" s="16">
        <v>2024</v>
      </c>
      <c r="D183" s="16" t="s">
        <v>41</v>
      </c>
      <c r="E183" s="16" t="s">
        <v>30</v>
      </c>
      <c r="F183" s="16" t="s">
        <v>29</v>
      </c>
      <c r="G183" s="16">
        <v>49</v>
      </c>
      <c r="H183" s="16">
        <v>8629</v>
      </c>
      <c r="I183" s="16">
        <v>324.89999999999998</v>
      </c>
      <c r="J183" s="19">
        <v>0.628</v>
      </c>
      <c r="K183" s="16">
        <v>84.9</v>
      </c>
      <c r="L183" s="19">
        <v>0.96799999999999997</v>
      </c>
      <c r="M183" s="19">
        <v>0.02</v>
      </c>
      <c r="N183" s="21">
        <v>79454.720000000001</v>
      </c>
      <c r="O183" s="21">
        <v>56746.33</v>
      </c>
      <c r="P183" s="26">
        <v>22708.39</v>
      </c>
    </row>
    <row r="184" spans="1:16" x14ac:dyDescent="0.3">
      <c r="A184" s="25">
        <v>183</v>
      </c>
      <c r="B184" s="16" t="s">
        <v>43</v>
      </c>
      <c r="C184" s="16">
        <v>2024</v>
      </c>
      <c r="D184" s="16" t="s">
        <v>41</v>
      </c>
      <c r="E184" s="16" t="s">
        <v>32</v>
      </c>
      <c r="F184" s="16" t="s">
        <v>33</v>
      </c>
      <c r="G184" s="16">
        <v>48</v>
      </c>
      <c r="H184" s="16">
        <v>6160</v>
      </c>
      <c r="I184" s="16">
        <v>588.6</v>
      </c>
      <c r="J184" s="19">
        <v>0.72399999999999998</v>
      </c>
      <c r="K184" s="16">
        <v>94</v>
      </c>
      <c r="L184" s="19">
        <v>0.92500000000000004</v>
      </c>
      <c r="M184" s="19">
        <v>1.7000000000000001E-2</v>
      </c>
      <c r="N184" s="21">
        <v>104088.3</v>
      </c>
      <c r="O184" s="21">
        <v>80456.88</v>
      </c>
      <c r="P184" s="26">
        <v>23631.42</v>
      </c>
    </row>
    <row r="185" spans="1:16" x14ac:dyDescent="0.3">
      <c r="A185" s="25">
        <v>184</v>
      </c>
      <c r="B185" s="16" t="s">
        <v>43</v>
      </c>
      <c r="C185" s="16">
        <v>2024</v>
      </c>
      <c r="D185" s="16" t="s">
        <v>41</v>
      </c>
      <c r="E185" s="16" t="s">
        <v>34</v>
      </c>
      <c r="F185" s="16" t="s">
        <v>33</v>
      </c>
      <c r="G185" s="16">
        <v>62</v>
      </c>
      <c r="H185" s="16">
        <v>11116</v>
      </c>
      <c r="I185" s="16">
        <v>474.6</v>
      </c>
      <c r="J185" s="19">
        <v>0.8</v>
      </c>
      <c r="K185" s="16">
        <v>99</v>
      </c>
      <c r="L185" s="19">
        <v>1</v>
      </c>
      <c r="M185" s="19">
        <v>2.1999999999999999E-2</v>
      </c>
      <c r="N185" s="21">
        <v>116103.11</v>
      </c>
      <c r="O185" s="21">
        <v>85409.29</v>
      </c>
      <c r="P185" s="26">
        <v>30693.82</v>
      </c>
    </row>
    <row r="186" spans="1:16" x14ac:dyDescent="0.3">
      <c r="A186" s="25">
        <v>185</v>
      </c>
      <c r="B186" s="16" t="s">
        <v>43</v>
      </c>
      <c r="C186" s="16">
        <v>2024</v>
      </c>
      <c r="D186" s="16" t="s">
        <v>41</v>
      </c>
      <c r="E186" s="16" t="s">
        <v>31</v>
      </c>
      <c r="F186" s="16" t="s">
        <v>33</v>
      </c>
      <c r="G186" s="16">
        <v>38</v>
      </c>
      <c r="H186" s="16">
        <v>6339</v>
      </c>
      <c r="I186" s="16">
        <v>525.79999999999995</v>
      </c>
      <c r="J186" s="19">
        <v>0.70799999999999996</v>
      </c>
      <c r="K186" s="16">
        <v>83.5</v>
      </c>
      <c r="L186" s="19">
        <v>0.86799999999999999</v>
      </c>
      <c r="M186" s="19">
        <v>1.2999999999999999E-2</v>
      </c>
      <c r="N186" s="21">
        <v>75297.850000000006</v>
      </c>
      <c r="O186" s="21">
        <v>46857.13</v>
      </c>
      <c r="P186" s="26">
        <v>28440.720000000001</v>
      </c>
    </row>
    <row r="187" spans="1:16" x14ac:dyDescent="0.3">
      <c r="A187" s="25">
        <v>186</v>
      </c>
      <c r="B187" s="16" t="s">
        <v>43</v>
      </c>
      <c r="C187" s="16">
        <v>2024</v>
      </c>
      <c r="D187" s="16" t="s">
        <v>41</v>
      </c>
      <c r="E187" s="16" t="s">
        <v>35</v>
      </c>
      <c r="F187" s="16" t="s">
        <v>33</v>
      </c>
      <c r="G187" s="16">
        <v>52</v>
      </c>
      <c r="H187" s="16">
        <v>10423</v>
      </c>
      <c r="I187" s="16">
        <v>496.9</v>
      </c>
      <c r="J187" s="19">
        <v>0.70399999999999996</v>
      </c>
      <c r="K187" s="16">
        <v>91.5</v>
      </c>
      <c r="L187" s="19">
        <v>0.93500000000000005</v>
      </c>
      <c r="M187" s="19">
        <v>3.2000000000000001E-2</v>
      </c>
      <c r="N187" s="21">
        <v>97556.13</v>
      </c>
      <c r="O187" s="21">
        <v>70062.539999999994</v>
      </c>
      <c r="P187" s="26">
        <v>27493.59</v>
      </c>
    </row>
    <row r="188" spans="1:16" x14ac:dyDescent="0.3">
      <c r="A188" s="25">
        <v>187</v>
      </c>
      <c r="B188" s="16" t="s">
        <v>43</v>
      </c>
      <c r="C188" s="16">
        <v>2024</v>
      </c>
      <c r="D188" s="16" t="s">
        <v>41</v>
      </c>
      <c r="E188" s="16" t="s">
        <v>30</v>
      </c>
      <c r="F188" s="16" t="s">
        <v>37</v>
      </c>
      <c r="G188" s="16">
        <v>45</v>
      </c>
      <c r="H188" s="16">
        <v>8909</v>
      </c>
      <c r="I188" s="16">
        <v>641.5</v>
      </c>
      <c r="J188" s="19">
        <v>0.66700000000000004</v>
      </c>
      <c r="K188" s="16">
        <v>91.3</v>
      </c>
      <c r="L188" s="19">
        <v>0.88900000000000001</v>
      </c>
      <c r="M188" s="19">
        <v>0.02</v>
      </c>
      <c r="N188" s="21">
        <v>77434.78</v>
      </c>
      <c r="O188" s="21">
        <v>48912.79</v>
      </c>
      <c r="P188" s="26">
        <v>28521.99</v>
      </c>
    </row>
    <row r="189" spans="1:16" x14ac:dyDescent="0.3">
      <c r="A189" s="25">
        <v>188</v>
      </c>
      <c r="B189" s="16" t="s">
        <v>44</v>
      </c>
      <c r="C189" s="16">
        <v>2024</v>
      </c>
      <c r="D189" s="16" t="s">
        <v>26</v>
      </c>
      <c r="E189" s="16" t="s">
        <v>27</v>
      </c>
      <c r="F189" s="16" t="s">
        <v>28</v>
      </c>
      <c r="G189" s="16">
        <v>42</v>
      </c>
      <c r="H189" s="16">
        <v>8258</v>
      </c>
      <c r="I189" s="16">
        <v>408.9</v>
      </c>
      <c r="J189" s="19">
        <v>0.81799999999999995</v>
      </c>
      <c r="K189" s="16">
        <v>74.3</v>
      </c>
      <c r="L189" s="19">
        <v>0.90500000000000003</v>
      </c>
      <c r="M189" s="19">
        <v>2.7E-2</v>
      </c>
      <c r="N189" s="21">
        <v>56996.12</v>
      </c>
      <c r="O189" s="21">
        <v>40841.08</v>
      </c>
      <c r="P189" s="26">
        <v>16155.04</v>
      </c>
    </row>
    <row r="190" spans="1:16" x14ac:dyDescent="0.3">
      <c r="A190" s="25">
        <v>189</v>
      </c>
      <c r="B190" s="16" t="s">
        <v>44</v>
      </c>
      <c r="C190" s="16">
        <v>2024</v>
      </c>
      <c r="D190" s="16" t="s">
        <v>26</v>
      </c>
      <c r="E190" s="16" t="s">
        <v>34</v>
      </c>
      <c r="F190" s="16" t="s">
        <v>28</v>
      </c>
      <c r="G190" s="16">
        <v>5</v>
      </c>
      <c r="H190" s="16">
        <v>924</v>
      </c>
      <c r="I190" s="16">
        <v>492</v>
      </c>
      <c r="J190" s="19">
        <v>0.85399999999999998</v>
      </c>
      <c r="K190" s="16">
        <v>83</v>
      </c>
      <c r="L190" s="19">
        <v>0.94799999999999995</v>
      </c>
      <c r="M190" s="19">
        <v>2.3E-2</v>
      </c>
      <c r="N190" s="21">
        <v>6056.6</v>
      </c>
      <c r="O190" s="21">
        <v>4552.17</v>
      </c>
      <c r="P190" s="26">
        <v>1504.43</v>
      </c>
    </row>
    <row r="191" spans="1:16" x14ac:dyDescent="0.3">
      <c r="A191" s="25">
        <v>190</v>
      </c>
      <c r="B191" s="16" t="s">
        <v>44</v>
      </c>
      <c r="C191" s="16">
        <v>2024</v>
      </c>
      <c r="D191" s="16" t="s">
        <v>26</v>
      </c>
      <c r="E191" s="16" t="s">
        <v>31</v>
      </c>
      <c r="F191" s="16" t="s">
        <v>28</v>
      </c>
      <c r="G191" s="16">
        <v>60</v>
      </c>
      <c r="H191" s="16">
        <v>14588</v>
      </c>
      <c r="I191" s="16">
        <v>435.7</v>
      </c>
      <c r="J191" s="19">
        <v>0.749</v>
      </c>
      <c r="K191" s="16">
        <v>81.900000000000006</v>
      </c>
      <c r="L191" s="19">
        <v>0.85799999999999998</v>
      </c>
      <c r="M191" s="19">
        <v>0.01</v>
      </c>
      <c r="N191" s="21">
        <v>71938.64</v>
      </c>
      <c r="O191" s="21">
        <v>51848.28</v>
      </c>
      <c r="P191" s="26">
        <v>20090.36</v>
      </c>
    </row>
    <row r="192" spans="1:16" x14ac:dyDescent="0.3">
      <c r="A192" s="25">
        <v>191</v>
      </c>
      <c r="B192" s="16" t="s">
        <v>44</v>
      </c>
      <c r="C192" s="16">
        <v>2024</v>
      </c>
      <c r="D192" s="16" t="s">
        <v>26</v>
      </c>
      <c r="E192" s="16" t="s">
        <v>32</v>
      </c>
      <c r="F192" s="16" t="s">
        <v>29</v>
      </c>
      <c r="G192" s="16">
        <v>35</v>
      </c>
      <c r="H192" s="16">
        <v>6339</v>
      </c>
      <c r="I192" s="16">
        <v>338.2</v>
      </c>
      <c r="J192" s="19">
        <v>0.58799999999999997</v>
      </c>
      <c r="K192" s="16">
        <v>74.7</v>
      </c>
      <c r="L192" s="19">
        <v>0.88400000000000001</v>
      </c>
      <c r="M192" s="19">
        <v>3.9E-2</v>
      </c>
      <c r="N192" s="21">
        <v>33620.480000000003</v>
      </c>
      <c r="O192" s="21">
        <v>22299.22</v>
      </c>
      <c r="P192" s="26">
        <v>11321.26</v>
      </c>
    </row>
    <row r="193" spans="1:16" x14ac:dyDescent="0.3">
      <c r="A193" s="25">
        <v>192</v>
      </c>
      <c r="B193" s="16" t="s">
        <v>44</v>
      </c>
      <c r="C193" s="16">
        <v>2024</v>
      </c>
      <c r="D193" s="16" t="s">
        <v>26</v>
      </c>
      <c r="E193" s="16" t="s">
        <v>27</v>
      </c>
      <c r="F193" s="16" t="s">
        <v>29</v>
      </c>
      <c r="G193" s="16">
        <v>60</v>
      </c>
      <c r="H193" s="16">
        <v>9947</v>
      </c>
      <c r="I193" s="16">
        <v>293.60000000000002</v>
      </c>
      <c r="J193" s="19">
        <v>0.70699999999999996</v>
      </c>
      <c r="K193" s="16">
        <v>77.900000000000006</v>
      </c>
      <c r="L193" s="19">
        <v>0.89600000000000002</v>
      </c>
      <c r="M193" s="19">
        <v>3.5999999999999997E-2</v>
      </c>
      <c r="N193" s="21">
        <v>92836.46</v>
      </c>
      <c r="O193" s="21">
        <v>63316.68</v>
      </c>
      <c r="P193" s="26">
        <v>29519.78</v>
      </c>
    </row>
    <row r="194" spans="1:16" x14ac:dyDescent="0.3">
      <c r="A194" s="25">
        <v>193</v>
      </c>
      <c r="B194" s="16" t="s">
        <v>44</v>
      </c>
      <c r="C194" s="16">
        <v>2024</v>
      </c>
      <c r="D194" s="16" t="s">
        <v>26</v>
      </c>
      <c r="E194" s="16" t="s">
        <v>30</v>
      </c>
      <c r="F194" s="16" t="s">
        <v>29</v>
      </c>
      <c r="G194" s="16">
        <v>52</v>
      </c>
      <c r="H194" s="16">
        <v>8441</v>
      </c>
      <c r="I194" s="16">
        <v>307.7</v>
      </c>
      <c r="J194" s="19">
        <v>0.65400000000000003</v>
      </c>
      <c r="K194" s="16">
        <v>73.7</v>
      </c>
      <c r="L194" s="19">
        <v>0.91200000000000003</v>
      </c>
      <c r="M194" s="19">
        <v>3.9E-2</v>
      </c>
      <c r="N194" s="21">
        <v>57701.64</v>
      </c>
      <c r="O194" s="21">
        <v>41721.97</v>
      </c>
      <c r="P194" s="26">
        <v>15979.67</v>
      </c>
    </row>
    <row r="195" spans="1:16" x14ac:dyDescent="0.3">
      <c r="A195" s="25">
        <v>194</v>
      </c>
      <c r="B195" s="16" t="s">
        <v>44</v>
      </c>
      <c r="C195" s="16">
        <v>2024</v>
      </c>
      <c r="D195" s="16" t="s">
        <v>26</v>
      </c>
      <c r="E195" s="16" t="s">
        <v>35</v>
      </c>
      <c r="F195" s="16" t="s">
        <v>29</v>
      </c>
      <c r="G195" s="16">
        <v>5</v>
      </c>
      <c r="H195" s="16">
        <v>905</v>
      </c>
      <c r="I195" s="16">
        <v>242.3</v>
      </c>
      <c r="J195" s="19">
        <v>0.63700000000000001</v>
      </c>
      <c r="K195" s="16">
        <v>72</v>
      </c>
      <c r="L195" s="19">
        <v>0.97399999999999998</v>
      </c>
      <c r="M195" s="19">
        <v>1.4E-2</v>
      </c>
      <c r="N195" s="21">
        <v>5423.92</v>
      </c>
      <c r="O195" s="21">
        <v>4100.79</v>
      </c>
      <c r="P195" s="26">
        <v>1323.13</v>
      </c>
    </row>
    <row r="196" spans="1:16" x14ac:dyDescent="0.3">
      <c r="A196" s="25">
        <v>195</v>
      </c>
      <c r="B196" s="16" t="s">
        <v>44</v>
      </c>
      <c r="C196" s="16">
        <v>2024</v>
      </c>
      <c r="D196" s="16" t="s">
        <v>26</v>
      </c>
      <c r="E196" s="16" t="s">
        <v>27</v>
      </c>
      <c r="F196" s="16" t="s">
        <v>33</v>
      </c>
      <c r="G196" s="16">
        <v>60</v>
      </c>
      <c r="H196" s="16">
        <v>10744</v>
      </c>
      <c r="I196" s="16">
        <v>506.8</v>
      </c>
      <c r="J196" s="19">
        <v>0.67600000000000005</v>
      </c>
      <c r="K196" s="16">
        <v>76.2</v>
      </c>
      <c r="L196" s="19">
        <v>0.92300000000000004</v>
      </c>
      <c r="M196" s="19">
        <v>3.5999999999999997E-2</v>
      </c>
      <c r="N196" s="21">
        <v>62121.79</v>
      </c>
      <c r="O196" s="21">
        <v>45856.79</v>
      </c>
      <c r="P196" s="26">
        <v>16265</v>
      </c>
    </row>
    <row r="197" spans="1:16" x14ac:dyDescent="0.3">
      <c r="A197" s="25">
        <v>196</v>
      </c>
      <c r="B197" s="16" t="s">
        <v>44</v>
      </c>
      <c r="C197" s="16">
        <v>2024</v>
      </c>
      <c r="D197" s="16" t="s">
        <v>26</v>
      </c>
      <c r="E197" s="16" t="s">
        <v>34</v>
      </c>
      <c r="F197" s="16" t="s">
        <v>33</v>
      </c>
      <c r="G197" s="16">
        <v>68</v>
      </c>
      <c r="H197" s="16">
        <v>11123</v>
      </c>
      <c r="I197" s="16">
        <v>487.7</v>
      </c>
      <c r="J197" s="19">
        <v>0.73099999999999998</v>
      </c>
      <c r="K197" s="16">
        <v>79.599999999999994</v>
      </c>
      <c r="L197" s="19">
        <v>0.79500000000000004</v>
      </c>
      <c r="M197" s="19">
        <v>1.4E-2</v>
      </c>
      <c r="N197" s="21">
        <v>86216.38</v>
      </c>
      <c r="O197" s="21">
        <v>64979.29</v>
      </c>
      <c r="P197" s="26">
        <v>21237.09</v>
      </c>
    </row>
    <row r="198" spans="1:16" x14ac:dyDescent="0.3">
      <c r="A198" s="25">
        <v>197</v>
      </c>
      <c r="B198" s="16" t="s">
        <v>44</v>
      </c>
      <c r="C198" s="16">
        <v>2024</v>
      </c>
      <c r="D198" s="16" t="s">
        <v>26</v>
      </c>
      <c r="E198" s="16" t="s">
        <v>27</v>
      </c>
      <c r="F198" s="16" t="s">
        <v>37</v>
      </c>
      <c r="G198" s="16">
        <v>44</v>
      </c>
      <c r="H198" s="16">
        <v>7693</v>
      </c>
      <c r="I198" s="16">
        <v>660.9</v>
      </c>
      <c r="J198" s="19">
        <v>0.71299999999999997</v>
      </c>
      <c r="K198" s="16">
        <v>74.099999999999994</v>
      </c>
      <c r="L198" s="19">
        <v>0.94299999999999995</v>
      </c>
      <c r="M198" s="19">
        <v>3.9E-2</v>
      </c>
      <c r="N198" s="21">
        <v>59203.83</v>
      </c>
      <c r="O198" s="21">
        <v>41644.410000000003</v>
      </c>
      <c r="P198" s="26">
        <v>17559.419999999998</v>
      </c>
    </row>
    <row r="199" spans="1:16" x14ac:dyDescent="0.3">
      <c r="A199" s="25">
        <v>198</v>
      </c>
      <c r="B199" s="16" t="s">
        <v>44</v>
      </c>
      <c r="C199" s="16">
        <v>2024</v>
      </c>
      <c r="D199" s="16" t="s">
        <v>26</v>
      </c>
      <c r="E199" s="16" t="s">
        <v>30</v>
      </c>
      <c r="F199" s="16" t="s">
        <v>37</v>
      </c>
      <c r="G199" s="16">
        <v>55</v>
      </c>
      <c r="H199" s="16">
        <v>10678</v>
      </c>
      <c r="I199" s="16">
        <v>645.79999999999995</v>
      </c>
      <c r="J199" s="19">
        <v>0.64600000000000002</v>
      </c>
      <c r="K199" s="16">
        <v>80.5</v>
      </c>
      <c r="L199" s="19">
        <v>0.82599999999999996</v>
      </c>
      <c r="M199" s="19">
        <v>4.2999999999999997E-2</v>
      </c>
      <c r="N199" s="21">
        <v>50335.519999999997</v>
      </c>
      <c r="O199" s="21">
        <v>31218.92</v>
      </c>
      <c r="P199" s="26">
        <v>19116.599999999999</v>
      </c>
    </row>
    <row r="200" spans="1:16" x14ac:dyDescent="0.3">
      <c r="A200" s="25">
        <v>199</v>
      </c>
      <c r="B200" s="16" t="s">
        <v>44</v>
      </c>
      <c r="C200" s="16">
        <v>2024</v>
      </c>
      <c r="D200" s="16" t="s">
        <v>26</v>
      </c>
      <c r="E200" s="16" t="s">
        <v>31</v>
      </c>
      <c r="F200" s="16" t="s">
        <v>37</v>
      </c>
      <c r="G200" s="16">
        <v>55</v>
      </c>
      <c r="H200" s="16">
        <v>10784</v>
      </c>
      <c r="I200" s="16">
        <v>569.1</v>
      </c>
      <c r="J200" s="19">
        <v>0.624</v>
      </c>
      <c r="K200" s="16">
        <v>78</v>
      </c>
      <c r="L200" s="19">
        <v>0.85499999999999998</v>
      </c>
      <c r="M200" s="19">
        <v>2.5999999999999999E-2</v>
      </c>
      <c r="N200" s="21">
        <v>54798.57</v>
      </c>
      <c r="O200" s="21">
        <v>38219.39</v>
      </c>
      <c r="P200" s="26">
        <v>16579.18</v>
      </c>
    </row>
    <row r="201" spans="1:16" x14ac:dyDescent="0.3">
      <c r="A201" s="25">
        <v>200</v>
      </c>
      <c r="B201" s="16" t="s">
        <v>44</v>
      </c>
      <c r="C201" s="16">
        <v>2024</v>
      </c>
      <c r="D201" s="16" t="s">
        <v>26</v>
      </c>
      <c r="E201" s="16" t="s">
        <v>35</v>
      </c>
      <c r="F201" s="16" t="s">
        <v>37</v>
      </c>
      <c r="G201" s="16">
        <v>34</v>
      </c>
      <c r="H201" s="16">
        <v>6115</v>
      </c>
      <c r="I201" s="16">
        <v>681.5</v>
      </c>
      <c r="J201" s="19">
        <v>0.68300000000000005</v>
      </c>
      <c r="K201" s="16">
        <v>79</v>
      </c>
      <c r="L201" s="19">
        <v>0.86</v>
      </c>
      <c r="M201" s="19">
        <v>2.1000000000000001E-2</v>
      </c>
      <c r="N201" s="21">
        <v>37147.620000000003</v>
      </c>
      <c r="O201" s="21">
        <v>23868.400000000001</v>
      </c>
      <c r="P201" s="26">
        <v>13279.22</v>
      </c>
    </row>
    <row r="202" spans="1:16" x14ac:dyDescent="0.3">
      <c r="A202" s="25">
        <v>201</v>
      </c>
      <c r="B202" s="16" t="s">
        <v>44</v>
      </c>
      <c r="C202" s="16">
        <v>2024</v>
      </c>
      <c r="D202" s="16" t="s">
        <v>38</v>
      </c>
      <c r="E202" s="16" t="s">
        <v>32</v>
      </c>
      <c r="F202" s="16" t="s">
        <v>28</v>
      </c>
      <c r="G202" s="16">
        <v>50</v>
      </c>
      <c r="H202" s="16">
        <v>10635</v>
      </c>
      <c r="I202" s="16">
        <v>433</v>
      </c>
      <c r="J202" s="19">
        <v>0.75800000000000001</v>
      </c>
      <c r="K202" s="16">
        <v>77.5</v>
      </c>
      <c r="L202" s="19">
        <v>0.83</v>
      </c>
      <c r="M202" s="19">
        <v>4.8000000000000001E-2</v>
      </c>
      <c r="N202" s="21">
        <v>77895.11</v>
      </c>
      <c r="O202" s="21">
        <v>52597.17</v>
      </c>
      <c r="P202" s="26">
        <v>25297.94</v>
      </c>
    </row>
    <row r="203" spans="1:16" x14ac:dyDescent="0.3">
      <c r="A203" s="25">
        <v>202</v>
      </c>
      <c r="B203" s="16" t="s">
        <v>44</v>
      </c>
      <c r="C203" s="16">
        <v>2024</v>
      </c>
      <c r="D203" s="16" t="s">
        <v>38</v>
      </c>
      <c r="E203" s="16" t="s">
        <v>27</v>
      </c>
      <c r="F203" s="16" t="s">
        <v>28</v>
      </c>
      <c r="G203" s="16">
        <v>41</v>
      </c>
      <c r="H203" s="16">
        <v>5711</v>
      </c>
      <c r="I203" s="16">
        <v>433.2</v>
      </c>
      <c r="J203" s="19">
        <v>0.81699999999999995</v>
      </c>
      <c r="K203" s="16">
        <v>78.599999999999994</v>
      </c>
      <c r="L203" s="19">
        <v>0.90200000000000002</v>
      </c>
      <c r="M203" s="19">
        <v>0.03</v>
      </c>
      <c r="N203" s="21">
        <v>65282.37</v>
      </c>
      <c r="O203" s="21">
        <v>43001.69</v>
      </c>
      <c r="P203" s="26">
        <v>22280.68</v>
      </c>
    </row>
    <row r="204" spans="1:16" x14ac:dyDescent="0.3">
      <c r="A204" s="25">
        <v>203</v>
      </c>
      <c r="B204" s="16" t="s">
        <v>44</v>
      </c>
      <c r="C204" s="16">
        <v>2024</v>
      </c>
      <c r="D204" s="16" t="s">
        <v>38</v>
      </c>
      <c r="E204" s="16" t="s">
        <v>34</v>
      </c>
      <c r="F204" s="16" t="s">
        <v>28</v>
      </c>
      <c r="G204" s="16">
        <v>42</v>
      </c>
      <c r="H204" s="16">
        <v>7253</v>
      </c>
      <c r="I204" s="16">
        <v>412.8</v>
      </c>
      <c r="J204" s="19">
        <v>0.86199999999999999</v>
      </c>
      <c r="K204" s="16">
        <v>72.900000000000006</v>
      </c>
      <c r="L204" s="19">
        <v>0.81499999999999995</v>
      </c>
      <c r="M204" s="19">
        <v>4.7E-2</v>
      </c>
      <c r="N204" s="21">
        <v>62098.63</v>
      </c>
      <c r="O204" s="21">
        <v>38997.730000000003</v>
      </c>
      <c r="P204" s="26">
        <v>23100.9</v>
      </c>
    </row>
    <row r="205" spans="1:16" x14ac:dyDescent="0.3">
      <c r="A205" s="25">
        <v>204</v>
      </c>
      <c r="B205" s="16" t="s">
        <v>44</v>
      </c>
      <c r="C205" s="16">
        <v>2024</v>
      </c>
      <c r="D205" s="16" t="s">
        <v>38</v>
      </c>
      <c r="E205" s="16" t="s">
        <v>31</v>
      </c>
      <c r="F205" s="16" t="s">
        <v>28</v>
      </c>
      <c r="G205" s="16">
        <v>38</v>
      </c>
      <c r="H205" s="16">
        <v>7375</v>
      </c>
      <c r="I205" s="16">
        <v>356.1</v>
      </c>
      <c r="J205" s="19">
        <v>0.80800000000000005</v>
      </c>
      <c r="K205" s="16">
        <v>94.1</v>
      </c>
      <c r="L205" s="19">
        <v>0.91100000000000003</v>
      </c>
      <c r="M205" s="19">
        <v>1.7999999999999999E-2</v>
      </c>
      <c r="N205" s="21">
        <v>50548</v>
      </c>
      <c r="O205" s="21">
        <v>39275.21</v>
      </c>
      <c r="P205" s="26">
        <v>11272.79</v>
      </c>
    </row>
    <row r="206" spans="1:16" x14ac:dyDescent="0.3">
      <c r="A206" s="25">
        <v>205</v>
      </c>
      <c r="B206" s="16" t="s">
        <v>44</v>
      </c>
      <c r="C206" s="16">
        <v>2024</v>
      </c>
      <c r="D206" s="16" t="s">
        <v>38</v>
      </c>
      <c r="E206" s="16" t="s">
        <v>32</v>
      </c>
      <c r="F206" s="16" t="s">
        <v>29</v>
      </c>
      <c r="G206" s="16">
        <v>45</v>
      </c>
      <c r="H206" s="16">
        <v>8717</v>
      </c>
      <c r="I206" s="16">
        <v>296.60000000000002</v>
      </c>
      <c r="J206" s="19">
        <v>0.57499999999999996</v>
      </c>
      <c r="K206" s="16">
        <v>76.2</v>
      </c>
      <c r="L206" s="19">
        <v>0.98399999999999999</v>
      </c>
      <c r="M206" s="19">
        <v>0.04</v>
      </c>
      <c r="N206" s="21">
        <v>60332.43</v>
      </c>
      <c r="O206" s="21">
        <v>38976.68</v>
      </c>
      <c r="P206" s="26">
        <v>21355.75</v>
      </c>
    </row>
    <row r="207" spans="1:16" x14ac:dyDescent="0.3">
      <c r="A207" s="25">
        <v>206</v>
      </c>
      <c r="B207" s="16" t="s">
        <v>44</v>
      </c>
      <c r="C207" s="16">
        <v>2024</v>
      </c>
      <c r="D207" s="16" t="s">
        <v>38</v>
      </c>
      <c r="E207" s="16" t="s">
        <v>27</v>
      </c>
      <c r="F207" s="16" t="s">
        <v>29</v>
      </c>
      <c r="G207" s="16">
        <v>44</v>
      </c>
      <c r="H207" s="16">
        <v>9507</v>
      </c>
      <c r="I207" s="16">
        <v>324.7</v>
      </c>
      <c r="J207" s="19">
        <v>0.63800000000000001</v>
      </c>
      <c r="K207" s="16">
        <v>84.1</v>
      </c>
      <c r="L207" s="19">
        <v>0.85799999999999998</v>
      </c>
      <c r="M207" s="19">
        <v>1.9E-2</v>
      </c>
      <c r="N207" s="21">
        <v>46402.42</v>
      </c>
      <c r="O207" s="21">
        <v>35065.69</v>
      </c>
      <c r="P207" s="26">
        <v>11336.73</v>
      </c>
    </row>
    <row r="208" spans="1:16" x14ac:dyDescent="0.3">
      <c r="A208" s="25">
        <v>207</v>
      </c>
      <c r="B208" s="16" t="s">
        <v>44</v>
      </c>
      <c r="C208" s="16">
        <v>2024</v>
      </c>
      <c r="D208" s="16" t="s">
        <v>38</v>
      </c>
      <c r="E208" s="16" t="s">
        <v>30</v>
      </c>
      <c r="F208" s="16" t="s">
        <v>29</v>
      </c>
      <c r="G208" s="16">
        <v>42</v>
      </c>
      <c r="H208" s="16">
        <v>6764</v>
      </c>
      <c r="I208" s="16">
        <v>299.2</v>
      </c>
      <c r="J208" s="19">
        <v>0.621</v>
      </c>
      <c r="K208" s="16">
        <v>77</v>
      </c>
      <c r="L208" s="19">
        <v>0.85499999999999998</v>
      </c>
      <c r="M208" s="19">
        <v>3.5000000000000003E-2</v>
      </c>
      <c r="N208" s="21">
        <v>40145.629999999997</v>
      </c>
      <c r="O208" s="21">
        <v>30796.71</v>
      </c>
      <c r="P208" s="26">
        <v>9348.92</v>
      </c>
    </row>
    <row r="209" spans="1:16" x14ac:dyDescent="0.3">
      <c r="A209" s="25">
        <v>208</v>
      </c>
      <c r="B209" s="16" t="s">
        <v>44</v>
      </c>
      <c r="C209" s="16">
        <v>2024</v>
      </c>
      <c r="D209" s="16" t="s">
        <v>38</v>
      </c>
      <c r="E209" s="16" t="s">
        <v>34</v>
      </c>
      <c r="F209" s="16" t="s">
        <v>29</v>
      </c>
      <c r="G209" s="16">
        <v>24</v>
      </c>
      <c r="H209" s="16">
        <v>3469</v>
      </c>
      <c r="I209" s="16">
        <v>309.89999999999998</v>
      </c>
      <c r="J209" s="19">
        <v>0.65900000000000003</v>
      </c>
      <c r="K209" s="16">
        <v>81.5</v>
      </c>
      <c r="L209" s="19">
        <v>0.97199999999999998</v>
      </c>
      <c r="M209" s="19">
        <v>3.7999999999999999E-2</v>
      </c>
      <c r="N209" s="21">
        <v>27928.14</v>
      </c>
      <c r="O209" s="21">
        <v>18437.05</v>
      </c>
      <c r="P209" s="26">
        <v>9491.09</v>
      </c>
    </row>
    <row r="210" spans="1:16" x14ac:dyDescent="0.3">
      <c r="A210" s="25">
        <v>209</v>
      </c>
      <c r="B210" s="16" t="s">
        <v>44</v>
      </c>
      <c r="C210" s="16">
        <v>2024</v>
      </c>
      <c r="D210" s="16" t="s">
        <v>38</v>
      </c>
      <c r="E210" s="16" t="s">
        <v>31</v>
      </c>
      <c r="F210" s="16" t="s">
        <v>29</v>
      </c>
      <c r="G210" s="16">
        <v>65</v>
      </c>
      <c r="H210" s="16">
        <v>9922</v>
      </c>
      <c r="I210" s="16">
        <v>271.60000000000002</v>
      </c>
      <c r="J210" s="19">
        <v>0.61399999999999999</v>
      </c>
      <c r="K210" s="16">
        <v>73.400000000000006</v>
      </c>
      <c r="L210" s="19">
        <v>0.91300000000000003</v>
      </c>
      <c r="M210" s="19">
        <v>3.2000000000000001E-2</v>
      </c>
      <c r="N210" s="21">
        <v>76407.13</v>
      </c>
      <c r="O210" s="21">
        <v>50825.760000000002</v>
      </c>
      <c r="P210" s="26">
        <v>25581.37</v>
      </c>
    </row>
    <row r="211" spans="1:16" x14ac:dyDescent="0.3">
      <c r="A211" s="25">
        <v>210</v>
      </c>
      <c r="B211" s="16" t="s">
        <v>44</v>
      </c>
      <c r="C211" s="16">
        <v>2024</v>
      </c>
      <c r="D211" s="16" t="s">
        <v>38</v>
      </c>
      <c r="E211" s="16" t="s">
        <v>35</v>
      </c>
      <c r="F211" s="16" t="s">
        <v>29</v>
      </c>
      <c r="G211" s="16">
        <v>21</v>
      </c>
      <c r="H211" s="16">
        <v>4737</v>
      </c>
      <c r="I211" s="16">
        <v>322</v>
      </c>
      <c r="J211" s="19">
        <v>0.80800000000000005</v>
      </c>
      <c r="K211" s="16">
        <v>77</v>
      </c>
      <c r="L211" s="19">
        <v>0.94699999999999995</v>
      </c>
      <c r="M211" s="19">
        <v>4.2000000000000003E-2</v>
      </c>
      <c r="N211" s="21">
        <v>29498.18</v>
      </c>
      <c r="O211" s="21">
        <v>22755.87</v>
      </c>
      <c r="P211" s="26">
        <v>6742.31</v>
      </c>
    </row>
    <row r="212" spans="1:16" x14ac:dyDescent="0.3">
      <c r="A212" s="25">
        <v>211</v>
      </c>
      <c r="B212" s="16" t="s">
        <v>44</v>
      </c>
      <c r="C212" s="16">
        <v>2024</v>
      </c>
      <c r="D212" s="16" t="s">
        <v>38</v>
      </c>
      <c r="E212" s="16" t="s">
        <v>32</v>
      </c>
      <c r="F212" s="16" t="s">
        <v>33</v>
      </c>
      <c r="G212" s="16">
        <v>66</v>
      </c>
      <c r="H212" s="16">
        <v>11327</v>
      </c>
      <c r="I212" s="16">
        <v>465.6</v>
      </c>
      <c r="J212" s="19">
        <v>0.53200000000000003</v>
      </c>
      <c r="K212" s="16">
        <v>88</v>
      </c>
      <c r="L212" s="19">
        <v>0.86699999999999999</v>
      </c>
      <c r="M212" s="19">
        <v>1.9E-2</v>
      </c>
      <c r="N212" s="21">
        <v>62319.11</v>
      </c>
      <c r="O212" s="21">
        <v>47163.4</v>
      </c>
      <c r="P212" s="26">
        <v>15155.71</v>
      </c>
    </row>
    <row r="213" spans="1:16" x14ac:dyDescent="0.3">
      <c r="A213" s="25">
        <v>212</v>
      </c>
      <c r="B213" s="16" t="s">
        <v>44</v>
      </c>
      <c r="C213" s="16">
        <v>2024</v>
      </c>
      <c r="D213" s="16" t="s">
        <v>38</v>
      </c>
      <c r="E213" s="16" t="s">
        <v>31</v>
      </c>
      <c r="F213" s="16" t="s">
        <v>33</v>
      </c>
      <c r="G213" s="16">
        <v>5</v>
      </c>
      <c r="H213" s="16">
        <v>926</v>
      </c>
      <c r="I213" s="16">
        <v>497.5</v>
      </c>
      <c r="J213" s="19">
        <v>0.76400000000000001</v>
      </c>
      <c r="K213" s="16">
        <v>92.2</v>
      </c>
      <c r="L213" s="19">
        <v>0.94099999999999995</v>
      </c>
      <c r="M213" s="19">
        <v>2.1000000000000001E-2</v>
      </c>
      <c r="N213" s="21">
        <v>8166.32</v>
      </c>
      <c r="O213" s="21">
        <v>5261.19</v>
      </c>
      <c r="P213" s="26">
        <v>2905.13</v>
      </c>
    </row>
    <row r="214" spans="1:16" x14ac:dyDescent="0.3">
      <c r="A214" s="25">
        <v>213</v>
      </c>
      <c r="B214" s="16" t="s">
        <v>44</v>
      </c>
      <c r="C214" s="16">
        <v>2024</v>
      </c>
      <c r="D214" s="16" t="s">
        <v>38</v>
      </c>
      <c r="E214" s="16" t="s">
        <v>35</v>
      </c>
      <c r="F214" s="16" t="s">
        <v>33</v>
      </c>
      <c r="G214" s="16">
        <v>18</v>
      </c>
      <c r="H214" s="16">
        <v>3384</v>
      </c>
      <c r="I214" s="16">
        <v>459.8</v>
      </c>
      <c r="J214" s="19">
        <v>0.73499999999999999</v>
      </c>
      <c r="K214" s="16">
        <v>87.7</v>
      </c>
      <c r="L214" s="19">
        <v>0.85899999999999999</v>
      </c>
      <c r="M214" s="19">
        <v>2.7E-2</v>
      </c>
      <c r="N214" s="21">
        <v>24708.720000000001</v>
      </c>
      <c r="O214" s="21">
        <v>19166.37</v>
      </c>
      <c r="P214" s="26">
        <v>5542.35</v>
      </c>
    </row>
    <row r="215" spans="1:16" x14ac:dyDescent="0.3">
      <c r="A215" s="25">
        <v>214</v>
      </c>
      <c r="B215" s="16" t="s">
        <v>44</v>
      </c>
      <c r="C215" s="16">
        <v>2024</v>
      </c>
      <c r="D215" s="16" t="s">
        <v>38</v>
      </c>
      <c r="E215" s="16" t="s">
        <v>35</v>
      </c>
      <c r="F215" s="16" t="s">
        <v>36</v>
      </c>
      <c r="G215" s="16">
        <v>63</v>
      </c>
      <c r="H215" s="16">
        <v>12557</v>
      </c>
      <c r="I215" s="16">
        <v>889.9</v>
      </c>
      <c r="J215" s="19">
        <v>0.76800000000000002</v>
      </c>
      <c r="K215" s="16">
        <v>79.7</v>
      </c>
      <c r="L215" s="19">
        <v>0.95199999999999996</v>
      </c>
      <c r="M215" s="19">
        <v>0.02</v>
      </c>
      <c r="N215" s="21">
        <v>95836.57</v>
      </c>
      <c r="O215" s="21">
        <v>62203.51</v>
      </c>
      <c r="P215" s="26">
        <v>33633.06</v>
      </c>
    </row>
    <row r="216" spans="1:16" x14ac:dyDescent="0.3">
      <c r="A216" s="25">
        <v>215</v>
      </c>
      <c r="B216" s="16" t="s">
        <v>44</v>
      </c>
      <c r="C216" s="16">
        <v>2024</v>
      </c>
      <c r="D216" s="16" t="s">
        <v>38</v>
      </c>
      <c r="E216" s="16" t="s">
        <v>27</v>
      </c>
      <c r="F216" s="16" t="s">
        <v>37</v>
      </c>
      <c r="G216" s="16">
        <v>36</v>
      </c>
      <c r="H216" s="16">
        <v>7665</v>
      </c>
      <c r="I216" s="16">
        <v>729.6</v>
      </c>
      <c r="J216" s="19">
        <v>0.73899999999999999</v>
      </c>
      <c r="K216" s="16">
        <v>82.4</v>
      </c>
      <c r="L216" s="19">
        <v>0.85</v>
      </c>
      <c r="M216" s="19">
        <v>2.4E-2</v>
      </c>
      <c r="N216" s="21">
        <v>52877.55</v>
      </c>
      <c r="O216" s="21">
        <v>39388.54</v>
      </c>
      <c r="P216" s="26">
        <v>13489.01</v>
      </c>
    </row>
    <row r="217" spans="1:16" x14ac:dyDescent="0.3">
      <c r="A217" s="25">
        <v>216</v>
      </c>
      <c r="B217" s="16" t="s">
        <v>44</v>
      </c>
      <c r="C217" s="16">
        <v>2024</v>
      </c>
      <c r="D217" s="16" t="s">
        <v>38</v>
      </c>
      <c r="E217" s="16" t="s">
        <v>30</v>
      </c>
      <c r="F217" s="16" t="s">
        <v>37</v>
      </c>
      <c r="G217" s="16">
        <v>54</v>
      </c>
      <c r="H217" s="16">
        <v>7928</v>
      </c>
      <c r="I217" s="16">
        <v>702.1</v>
      </c>
      <c r="J217" s="19">
        <v>0.62</v>
      </c>
      <c r="K217" s="16">
        <v>80.099999999999994</v>
      </c>
      <c r="L217" s="19">
        <v>1</v>
      </c>
      <c r="M217" s="19">
        <v>3.5000000000000003E-2</v>
      </c>
      <c r="N217" s="21">
        <v>93399.55</v>
      </c>
      <c r="O217" s="21">
        <v>63426.23</v>
      </c>
      <c r="P217" s="26">
        <v>29973.32</v>
      </c>
    </row>
    <row r="218" spans="1:16" x14ac:dyDescent="0.3">
      <c r="A218" s="25">
        <v>217</v>
      </c>
      <c r="B218" s="16" t="s">
        <v>44</v>
      </c>
      <c r="C218" s="16">
        <v>2024</v>
      </c>
      <c r="D218" s="16" t="s">
        <v>38</v>
      </c>
      <c r="E218" s="16" t="s">
        <v>34</v>
      </c>
      <c r="F218" s="16" t="s">
        <v>37</v>
      </c>
      <c r="G218" s="16">
        <v>53</v>
      </c>
      <c r="H218" s="16">
        <v>10644</v>
      </c>
      <c r="I218" s="16">
        <v>647.20000000000005</v>
      </c>
      <c r="J218" s="19">
        <v>0.78800000000000003</v>
      </c>
      <c r="K218" s="16">
        <v>83.2</v>
      </c>
      <c r="L218" s="19">
        <v>0.94</v>
      </c>
      <c r="M218" s="19">
        <v>3.6999999999999998E-2</v>
      </c>
      <c r="N218" s="21">
        <v>80471.09</v>
      </c>
      <c r="O218" s="21">
        <v>53420.85</v>
      </c>
      <c r="P218" s="26">
        <v>27050.240000000002</v>
      </c>
    </row>
    <row r="219" spans="1:16" x14ac:dyDescent="0.3">
      <c r="A219" s="25">
        <v>218</v>
      </c>
      <c r="B219" s="16" t="s">
        <v>44</v>
      </c>
      <c r="C219" s="16">
        <v>2024</v>
      </c>
      <c r="D219" s="16" t="s">
        <v>38</v>
      </c>
      <c r="E219" s="16" t="s">
        <v>31</v>
      </c>
      <c r="F219" s="16" t="s">
        <v>37</v>
      </c>
      <c r="G219" s="16">
        <v>36</v>
      </c>
      <c r="H219" s="16">
        <v>5613</v>
      </c>
      <c r="I219" s="16">
        <v>677.6</v>
      </c>
      <c r="J219" s="19">
        <v>0.72699999999999998</v>
      </c>
      <c r="K219" s="16">
        <v>84.3</v>
      </c>
      <c r="L219" s="19">
        <v>0.9</v>
      </c>
      <c r="M219" s="19">
        <v>4.9000000000000002E-2</v>
      </c>
      <c r="N219" s="21">
        <v>53239.81</v>
      </c>
      <c r="O219" s="21">
        <v>36250.07</v>
      </c>
      <c r="P219" s="26">
        <v>16989.740000000002</v>
      </c>
    </row>
    <row r="220" spans="1:16" x14ac:dyDescent="0.3">
      <c r="A220" s="25">
        <v>219</v>
      </c>
      <c r="B220" s="16" t="s">
        <v>44</v>
      </c>
      <c r="C220" s="16">
        <v>2024</v>
      </c>
      <c r="D220" s="16" t="s">
        <v>39</v>
      </c>
      <c r="E220" s="16" t="s">
        <v>32</v>
      </c>
      <c r="F220" s="16" t="s">
        <v>28</v>
      </c>
      <c r="G220" s="16">
        <v>34</v>
      </c>
      <c r="H220" s="16">
        <v>7256</v>
      </c>
      <c r="I220" s="16">
        <v>417.6</v>
      </c>
      <c r="J220" s="19">
        <v>0.80700000000000005</v>
      </c>
      <c r="K220" s="16">
        <v>84.9</v>
      </c>
      <c r="L220" s="19">
        <v>0.91200000000000003</v>
      </c>
      <c r="M220" s="19">
        <v>0.02</v>
      </c>
      <c r="N220" s="21">
        <v>63524.26</v>
      </c>
      <c r="O220" s="21">
        <v>49213.87</v>
      </c>
      <c r="P220" s="26">
        <v>14310.39</v>
      </c>
    </row>
    <row r="221" spans="1:16" x14ac:dyDescent="0.3">
      <c r="A221" s="25">
        <v>220</v>
      </c>
      <c r="B221" s="16" t="s">
        <v>44</v>
      </c>
      <c r="C221" s="16">
        <v>2024</v>
      </c>
      <c r="D221" s="16" t="s">
        <v>39</v>
      </c>
      <c r="E221" s="16" t="s">
        <v>34</v>
      </c>
      <c r="F221" s="16" t="s">
        <v>28</v>
      </c>
      <c r="G221" s="16">
        <v>41</v>
      </c>
      <c r="H221" s="16">
        <v>7661</v>
      </c>
      <c r="I221" s="16">
        <v>429.7</v>
      </c>
      <c r="J221" s="19">
        <v>0.86299999999999999</v>
      </c>
      <c r="K221" s="16">
        <v>76</v>
      </c>
      <c r="L221" s="19">
        <v>0.83299999999999996</v>
      </c>
      <c r="M221" s="19">
        <v>2.7E-2</v>
      </c>
      <c r="N221" s="21">
        <v>58786.43</v>
      </c>
      <c r="O221" s="21">
        <v>44643.96</v>
      </c>
      <c r="P221" s="26">
        <v>14142.47</v>
      </c>
    </row>
    <row r="222" spans="1:16" x14ac:dyDescent="0.3">
      <c r="A222" s="25">
        <v>221</v>
      </c>
      <c r="B222" s="16" t="s">
        <v>44</v>
      </c>
      <c r="C222" s="16">
        <v>2024</v>
      </c>
      <c r="D222" s="16" t="s">
        <v>39</v>
      </c>
      <c r="E222" s="16" t="s">
        <v>31</v>
      </c>
      <c r="F222" s="16" t="s">
        <v>28</v>
      </c>
      <c r="G222" s="16">
        <v>35</v>
      </c>
      <c r="H222" s="16">
        <v>6938</v>
      </c>
      <c r="I222" s="16">
        <v>464.5</v>
      </c>
      <c r="J222" s="19">
        <v>0.89600000000000002</v>
      </c>
      <c r="K222" s="16">
        <v>81.3</v>
      </c>
      <c r="L222" s="19">
        <v>0.84</v>
      </c>
      <c r="M222" s="19">
        <v>2.4E-2</v>
      </c>
      <c r="N222" s="21">
        <v>50869.7</v>
      </c>
      <c r="O222" s="21">
        <v>34412</v>
      </c>
      <c r="P222" s="26">
        <v>16457.7</v>
      </c>
    </row>
    <row r="223" spans="1:16" x14ac:dyDescent="0.3">
      <c r="A223" s="25">
        <v>222</v>
      </c>
      <c r="B223" s="16" t="s">
        <v>44</v>
      </c>
      <c r="C223" s="16">
        <v>2024</v>
      </c>
      <c r="D223" s="16" t="s">
        <v>39</v>
      </c>
      <c r="E223" s="16" t="s">
        <v>35</v>
      </c>
      <c r="F223" s="16" t="s">
        <v>28</v>
      </c>
      <c r="G223" s="16">
        <v>63</v>
      </c>
      <c r="H223" s="16">
        <v>10153</v>
      </c>
      <c r="I223" s="16">
        <v>392.6</v>
      </c>
      <c r="J223" s="19">
        <v>0.77100000000000002</v>
      </c>
      <c r="K223" s="16">
        <v>77.5</v>
      </c>
      <c r="L223" s="19">
        <v>1</v>
      </c>
      <c r="M223" s="19">
        <v>3.9E-2</v>
      </c>
      <c r="N223" s="21">
        <v>87828.75</v>
      </c>
      <c r="O223" s="21">
        <v>59125.7</v>
      </c>
      <c r="P223" s="26">
        <v>28703.05</v>
      </c>
    </row>
    <row r="224" spans="1:16" x14ac:dyDescent="0.3">
      <c r="A224" s="25">
        <v>223</v>
      </c>
      <c r="B224" s="16" t="s">
        <v>44</v>
      </c>
      <c r="C224" s="16">
        <v>2024</v>
      </c>
      <c r="D224" s="16" t="s">
        <v>39</v>
      </c>
      <c r="E224" s="16" t="s">
        <v>30</v>
      </c>
      <c r="F224" s="16" t="s">
        <v>29</v>
      </c>
      <c r="G224" s="16">
        <v>65</v>
      </c>
      <c r="H224" s="16">
        <v>13435</v>
      </c>
      <c r="I224" s="16">
        <v>252.6</v>
      </c>
      <c r="J224" s="19">
        <v>0.68100000000000005</v>
      </c>
      <c r="K224" s="16">
        <v>85.6</v>
      </c>
      <c r="L224" s="19">
        <v>0.88200000000000001</v>
      </c>
      <c r="M224" s="19">
        <v>2.5000000000000001E-2</v>
      </c>
      <c r="N224" s="21">
        <v>84640.51</v>
      </c>
      <c r="O224" s="21">
        <v>56219.16</v>
      </c>
      <c r="P224" s="26">
        <v>28421.35</v>
      </c>
    </row>
    <row r="225" spans="1:16" x14ac:dyDescent="0.3">
      <c r="A225" s="25">
        <v>224</v>
      </c>
      <c r="B225" s="16" t="s">
        <v>44</v>
      </c>
      <c r="C225" s="16">
        <v>2024</v>
      </c>
      <c r="D225" s="16" t="s">
        <v>39</v>
      </c>
      <c r="E225" s="16" t="s">
        <v>31</v>
      </c>
      <c r="F225" s="16" t="s">
        <v>29</v>
      </c>
      <c r="G225" s="16">
        <v>45</v>
      </c>
      <c r="H225" s="16">
        <v>7363</v>
      </c>
      <c r="I225" s="16">
        <v>290.8</v>
      </c>
      <c r="J225" s="19">
        <v>0.59499999999999997</v>
      </c>
      <c r="K225" s="16">
        <v>82.5</v>
      </c>
      <c r="L225" s="19">
        <v>0.78900000000000003</v>
      </c>
      <c r="M225" s="19">
        <v>0.04</v>
      </c>
      <c r="N225" s="21">
        <v>50267.71</v>
      </c>
      <c r="O225" s="21">
        <v>34363.910000000003</v>
      </c>
      <c r="P225" s="26">
        <v>15903.8</v>
      </c>
    </row>
    <row r="226" spans="1:16" x14ac:dyDescent="0.3">
      <c r="A226" s="25">
        <v>225</v>
      </c>
      <c r="B226" s="16" t="s">
        <v>44</v>
      </c>
      <c r="C226" s="16">
        <v>2024</v>
      </c>
      <c r="D226" s="16" t="s">
        <v>39</v>
      </c>
      <c r="E226" s="16" t="s">
        <v>31</v>
      </c>
      <c r="F226" s="16" t="s">
        <v>33</v>
      </c>
      <c r="G226" s="16">
        <v>46</v>
      </c>
      <c r="H226" s="16">
        <v>8727</v>
      </c>
      <c r="I226" s="16">
        <v>476.7</v>
      </c>
      <c r="J226" s="19">
        <v>0.751</v>
      </c>
      <c r="K226" s="16">
        <v>84</v>
      </c>
      <c r="L226" s="19">
        <v>0.99</v>
      </c>
      <c r="M226" s="19">
        <v>2.1999999999999999E-2</v>
      </c>
      <c r="N226" s="21">
        <v>80908.87</v>
      </c>
      <c r="O226" s="21">
        <v>53625.13</v>
      </c>
      <c r="P226" s="26">
        <v>27283.74</v>
      </c>
    </row>
    <row r="227" spans="1:16" x14ac:dyDescent="0.3">
      <c r="A227" s="25">
        <v>226</v>
      </c>
      <c r="B227" s="16" t="s">
        <v>44</v>
      </c>
      <c r="C227" s="16">
        <v>2024</v>
      </c>
      <c r="D227" s="16" t="s">
        <v>39</v>
      </c>
      <c r="E227" s="16" t="s">
        <v>32</v>
      </c>
      <c r="F227" s="16" t="s">
        <v>36</v>
      </c>
      <c r="G227" s="16">
        <v>57</v>
      </c>
      <c r="H227" s="16">
        <v>8825</v>
      </c>
      <c r="I227" s="16">
        <v>932.8</v>
      </c>
      <c r="J227" s="19">
        <v>0.79200000000000004</v>
      </c>
      <c r="K227" s="16">
        <v>76.400000000000006</v>
      </c>
      <c r="L227" s="19">
        <v>0.96099999999999997</v>
      </c>
      <c r="M227" s="19">
        <v>2.1000000000000001E-2</v>
      </c>
      <c r="N227" s="21">
        <v>92327.54</v>
      </c>
      <c r="O227" s="21">
        <v>71228.61</v>
      </c>
      <c r="P227" s="26">
        <v>21098.93</v>
      </c>
    </row>
    <row r="228" spans="1:16" x14ac:dyDescent="0.3">
      <c r="A228" s="25">
        <v>227</v>
      </c>
      <c r="B228" s="16" t="s">
        <v>44</v>
      </c>
      <c r="C228" s="16">
        <v>2024</v>
      </c>
      <c r="D228" s="16" t="s">
        <v>39</v>
      </c>
      <c r="E228" s="16" t="s">
        <v>34</v>
      </c>
      <c r="F228" s="16" t="s">
        <v>36</v>
      </c>
      <c r="G228" s="16">
        <v>53</v>
      </c>
      <c r="H228" s="16">
        <v>9989</v>
      </c>
      <c r="I228" s="16">
        <v>915.6</v>
      </c>
      <c r="J228" s="19">
        <v>0.62</v>
      </c>
      <c r="K228" s="16">
        <v>87.2</v>
      </c>
      <c r="L228" s="19">
        <v>0.88600000000000001</v>
      </c>
      <c r="M228" s="19">
        <v>4.2000000000000003E-2</v>
      </c>
      <c r="N228" s="21">
        <v>69344.429999999993</v>
      </c>
      <c r="O228" s="21">
        <v>49461.17</v>
      </c>
      <c r="P228" s="26">
        <v>19883.259999999998</v>
      </c>
    </row>
    <row r="229" spans="1:16" x14ac:dyDescent="0.3">
      <c r="A229" s="25">
        <v>228</v>
      </c>
      <c r="B229" s="16" t="s">
        <v>44</v>
      </c>
      <c r="C229" s="16">
        <v>2024</v>
      </c>
      <c r="D229" s="16" t="s">
        <v>39</v>
      </c>
      <c r="E229" s="16" t="s">
        <v>32</v>
      </c>
      <c r="F229" s="16" t="s">
        <v>37</v>
      </c>
      <c r="G229" s="16">
        <v>61</v>
      </c>
      <c r="H229" s="16">
        <v>10567</v>
      </c>
      <c r="I229" s="16">
        <v>682.6</v>
      </c>
      <c r="J229" s="19">
        <v>0.61899999999999999</v>
      </c>
      <c r="K229" s="16">
        <v>78.900000000000006</v>
      </c>
      <c r="L229" s="19">
        <v>0.91400000000000003</v>
      </c>
      <c r="M229" s="19">
        <v>2.8000000000000001E-2</v>
      </c>
      <c r="N229" s="21">
        <v>76109.990000000005</v>
      </c>
      <c r="O229" s="21">
        <v>58325.2</v>
      </c>
      <c r="P229" s="26">
        <v>17784.79</v>
      </c>
    </row>
    <row r="230" spans="1:16" x14ac:dyDescent="0.3">
      <c r="A230" s="25">
        <v>229</v>
      </c>
      <c r="B230" s="16" t="s">
        <v>44</v>
      </c>
      <c r="C230" s="16">
        <v>2024</v>
      </c>
      <c r="D230" s="16" t="s">
        <v>39</v>
      </c>
      <c r="E230" s="16" t="s">
        <v>31</v>
      </c>
      <c r="F230" s="16" t="s">
        <v>37</v>
      </c>
      <c r="G230" s="16">
        <v>45</v>
      </c>
      <c r="H230" s="16">
        <v>8047</v>
      </c>
      <c r="I230" s="16">
        <v>722.7</v>
      </c>
      <c r="J230" s="19">
        <v>0.75700000000000001</v>
      </c>
      <c r="K230" s="16">
        <v>83</v>
      </c>
      <c r="L230" s="19">
        <v>0.92200000000000004</v>
      </c>
      <c r="M230" s="19">
        <v>0.02</v>
      </c>
      <c r="N230" s="21">
        <v>73314.97</v>
      </c>
      <c r="O230" s="21">
        <v>45616.52</v>
      </c>
      <c r="P230" s="26">
        <v>27698.45</v>
      </c>
    </row>
    <row r="231" spans="1:16" x14ac:dyDescent="0.3">
      <c r="A231" s="25">
        <v>230</v>
      </c>
      <c r="B231" s="16" t="s">
        <v>44</v>
      </c>
      <c r="C231" s="16">
        <v>2024</v>
      </c>
      <c r="D231" s="16" t="s">
        <v>40</v>
      </c>
      <c r="E231" s="16" t="s">
        <v>35</v>
      </c>
      <c r="F231" s="16" t="s">
        <v>28</v>
      </c>
      <c r="G231" s="16">
        <v>69</v>
      </c>
      <c r="H231" s="16">
        <v>14028</v>
      </c>
      <c r="I231" s="16">
        <v>436.3</v>
      </c>
      <c r="J231" s="19">
        <v>0.80700000000000005</v>
      </c>
      <c r="K231" s="16">
        <v>76</v>
      </c>
      <c r="L231" s="19">
        <v>0.98499999999999999</v>
      </c>
      <c r="M231" s="19">
        <v>2.7E-2</v>
      </c>
      <c r="N231" s="21">
        <v>113881.99</v>
      </c>
      <c r="O231" s="21">
        <v>84052.51</v>
      </c>
      <c r="P231" s="26">
        <v>29829.48</v>
      </c>
    </row>
    <row r="232" spans="1:16" x14ac:dyDescent="0.3">
      <c r="A232" s="25">
        <v>231</v>
      </c>
      <c r="B232" s="16" t="s">
        <v>44</v>
      </c>
      <c r="C232" s="16">
        <v>2024</v>
      </c>
      <c r="D232" s="16" t="s">
        <v>40</v>
      </c>
      <c r="E232" s="16" t="s">
        <v>34</v>
      </c>
      <c r="F232" s="16" t="s">
        <v>29</v>
      </c>
      <c r="G232" s="16">
        <v>61</v>
      </c>
      <c r="H232" s="16">
        <v>14286</v>
      </c>
      <c r="I232" s="16">
        <v>268.60000000000002</v>
      </c>
      <c r="J232" s="19">
        <v>0.56699999999999995</v>
      </c>
      <c r="K232" s="16">
        <v>81.5</v>
      </c>
      <c r="L232" s="19">
        <v>0.88600000000000001</v>
      </c>
      <c r="M232" s="19">
        <v>3.2000000000000001E-2</v>
      </c>
      <c r="N232" s="21">
        <v>86447.26</v>
      </c>
      <c r="O232" s="21">
        <v>62314.6</v>
      </c>
      <c r="P232" s="26">
        <v>24132.66</v>
      </c>
    </row>
    <row r="233" spans="1:16" x14ac:dyDescent="0.3">
      <c r="A233" s="25">
        <v>232</v>
      </c>
      <c r="B233" s="16" t="s">
        <v>44</v>
      </c>
      <c r="C233" s="16">
        <v>2024</v>
      </c>
      <c r="D233" s="16" t="s">
        <v>40</v>
      </c>
      <c r="E233" s="16" t="s">
        <v>35</v>
      </c>
      <c r="F233" s="16" t="s">
        <v>29</v>
      </c>
      <c r="G233" s="16">
        <v>20</v>
      </c>
      <c r="H233" s="16">
        <v>2695</v>
      </c>
      <c r="I233" s="16">
        <v>321.5</v>
      </c>
      <c r="J233" s="19">
        <v>0.66100000000000003</v>
      </c>
      <c r="K233" s="16">
        <v>77.599999999999994</v>
      </c>
      <c r="L233" s="19">
        <v>0.85899999999999999</v>
      </c>
      <c r="M233" s="19">
        <v>7.0000000000000001E-3</v>
      </c>
      <c r="N233" s="21">
        <v>26232.21</v>
      </c>
      <c r="O233" s="21">
        <v>18325.169999999998</v>
      </c>
      <c r="P233" s="26">
        <v>7907.04</v>
      </c>
    </row>
    <row r="234" spans="1:16" x14ac:dyDescent="0.3">
      <c r="A234" s="25">
        <v>233</v>
      </c>
      <c r="B234" s="16" t="s">
        <v>44</v>
      </c>
      <c r="C234" s="16">
        <v>2024</v>
      </c>
      <c r="D234" s="16" t="s">
        <v>40</v>
      </c>
      <c r="E234" s="16" t="s">
        <v>32</v>
      </c>
      <c r="F234" s="16" t="s">
        <v>33</v>
      </c>
      <c r="G234" s="16">
        <v>48</v>
      </c>
      <c r="H234" s="16">
        <v>8269</v>
      </c>
      <c r="I234" s="16">
        <v>550</v>
      </c>
      <c r="J234" s="19">
        <v>0.67900000000000005</v>
      </c>
      <c r="K234" s="16">
        <v>81.5</v>
      </c>
      <c r="L234" s="19">
        <v>0.93300000000000005</v>
      </c>
      <c r="M234" s="19">
        <v>0.02</v>
      </c>
      <c r="N234" s="21">
        <v>55011.58</v>
      </c>
      <c r="O234" s="21">
        <v>41867.69</v>
      </c>
      <c r="P234" s="26">
        <v>13143.89</v>
      </c>
    </row>
    <row r="235" spans="1:16" x14ac:dyDescent="0.3">
      <c r="A235" s="25">
        <v>234</v>
      </c>
      <c r="B235" s="16" t="s">
        <v>44</v>
      </c>
      <c r="C235" s="16">
        <v>2024</v>
      </c>
      <c r="D235" s="16" t="s">
        <v>40</v>
      </c>
      <c r="E235" s="16" t="s">
        <v>27</v>
      </c>
      <c r="F235" s="16" t="s">
        <v>33</v>
      </c>
      <c r="G235" s="16">
        <v>34</v>
      </c>
      <c r="H235" s="16">
        <v>6400</v>
      </c>
      <c r="I235" s="16">
        <v>439.7</v>
      </c>
      <c r="J235" s="19">
        <v>0.67300000000000004</v>
      </c>
      <c r="K235" s="16">
        <v>85.5</v>
      </c>
      <c r="L235" s="19">
        <v>0.77100000000000002</v>
      </c>
      <c r="M235" s="19">
        <v>8.0000000000000002E-3</v>
      </c>
      <c r="N235" s="21">
        <v>48401.29</v>
      </c>
      <c r="O235" s="21">
        <v>32748.62</v>
      </c>
      <c r="P235" s="26">
        <v>15652.67</v>
      </c>
    </row>
    <row r="236" spans="1:16" x14ac:dyDescent="0.3">
      <c r="A236" s="25">
        <v>235</v>
      </c>
      <c r="B236" s="16" t="s">
        <v>44</v>
      </c>
      <c r="C236" s="16">
        <v>2024</v>
      </c>
      <c r="D236" s="16" t="s">
        <v>40</v>
      </c>
      <c r="E236" s="16" t="s">
        <v>30</v>
      </c>
      <c r="F236" s="16" t="s">
        <v>33</v>
      </c>
      <c r="G236" s="16">
        <v>34</v>
      </c>
      <c r="H236" s="16">
        <v>6919</v>
      </c>
      <c r="I236" s="16">
        <v>434.2</v>
      </c>
      <c r="J236" s="19">
        <v>0.65800000000000003</v>
      </c>
      <c r="K236" s="16">
        <v>88.5</v>
      </c>
      <c r="L236" s="19">
        <v>0.96399999999999997</v>
      </c>
      <c r="M236" s="19">
        <v>2.5000000000000001E-2</v>
      </c>
      <c r="N236" s="21">
        <v>31468.13</v>
      </c>
      <c r="O236" s="21">
        <v>22043.46</v>
      </c>
      <c r="P236" s="26">
        <v>9424.67</v>
      </c>
    </row>
    <row r="237" spans="1:16" x14ac:dyDescent="0.3">
      <c r="A237" s="25">
        <v>236</v>
      </c>
      <c r="B237" s="16" t="s">
        <v>44</v>
      </c>
      <c r="C237" s="16">
        <v>2024</v>
      </c>
      <c r="D237" s="16" t="s">
        <v>40</v>
      </c>
      <c r="E237" s="16" t="s">
        <v>31</v>
      </c>
      <c r="F237" s="16" t="s">
        <v>33</v>
      </c>
      <c r="G237" s="16">
        <v>58</v>
      </c>
      <c r="H237" s="16">
        <v>11118</v>
      </c>
      <c r="I237" s="16">
        <v>496.8</v>
      </c>
      <c r="J237" s="19">
        <v>0.77600000000000002</v>
      </c>
      <c r="K237" s="16">
        <v>95.3</v>
      </c>
      <c r="L237" s="19">
        <v>0.92800000000000005</v>
      </c>
      <c r="M237" s="19">
        <v>1.4E-2</v>
      </c>
      <c r="N237" s="21">
        <v>74399.59</v>
      </c>
      <c r="O237" s="21">
        <v>48261.56</v>
      </c>
      <c r="P237" s="26">
        <v>26138.03</v>
      </c>
    </row>
    <row r="238" spans="1:16" x14ac:dyDescent="0.3">
      <c r="A238" s="25">
        <v>237</v>
      </c>
      <c r="B238" s="16" t="s">
        <v>44</v>
      </c>
      <c r="C238" s="16">
        <v>2024</v>
      </c>
      <c r="D238" s="16" t="s">
        <v>40</v>
      </c>
      <c r="E238" s="16" t="s">
        <v>35</v>
      </c>
      <c r="F238" s="16" t="s">
        <v>33</v>
      </c>
      <c r="G238" s="16">
        <v>38</v>
      </c>
      <c r="H238" s="16">
        <v>6616</v>
      </c>
      <c r="I238" s="16">
        <v>519</v>
      </c>
      <c r="J238" s="19">
        <v>0.79500000000000004</v>
      </c>
      <c r="K238" s="16">
        <v>78.8</v>
      </c>
      <c r="L238" s="19">
        <v>0.85699999999999998</v>
      </c>
      <c r="M238" s="19">
        <v>2.5999999999999999E-2</v>
      </c>
      <c r="N238" s="21">
        <v>47020.5</v>
      </c>
      <c r="O238" s="21">
        <v>29945.25</v>
      </c>
      <c r="P238" s="26">
        <v>17075.25</v>
      </c>
    </row>
    <row r="239" spans="1:16" x14ac:dyDescent="0.3">
      <c r="A239" s="25">
        <v>238</v>
      </c>
      <c r="B239" s="16" t="s">
        <v>44</v>
      </c>
      <c r="C239" s="16">
        <v>2024</v>
      </c>
      <c r="D239" s="16" t="s">
        <v>40</v>
      </c>
      <c r="E239" s="16" t="s">
        <v>30</v>
      </c>
      <c r="F239" s="16" t="s">
        <v>36</v>
      </c>
      <c r="G239" s="16">
        <v>24</v>
      </c>
      <c r="H239" s="16">
        <v>4032</v>
      </c>
      <c r="I239" s="16">
        <v>940.9</v>
      </c>
      <c r="J239" s="19">
        <v>0.82499999999999996</v>
      </c>
      <c r="K239" s="16">
        <v>76.099999999999994</v>
      </c>
      <c r="L239" s="19">
        <v>1</v>
      </c>
      <c r="M239" s="19">
        <v>6.0000000000000001E-3</v>
      </c>
      <c r="N239" s="21">
        <v>38795.21</v>
      </c>
      <c r="O239" s="21">
        <v>28411.42</v>
      </c>
      <c r="P239" s="26">
        <v>10383.790000000001</v>
      </c>
    </row>
    <row r="240" spans="1:16" x14ac:dyDescent="0.3">
      <c r="A240" s="25">
        <v>239</v>
      </c>
      <c r="B240" s="16" t="s">
        <v>44</v>
      </c>
      <c r="C240" s="16">
        <v>2024</v>
      </c>
      <c r="D240" s="16" t="s">
        <v>40</v>
      </c>
      <c r="E240" s="16" t="s">
        <v>32</v>
      </c>
      <c r="F240" s="16" t="s">
        <v>37</v>
      </c>
      <c r="G240" s="16">
        <v>53</v>
      </c>
      <c r="H240" s="16">
        <v>12239</v>
      </c>
      <c r="I240" s="16">
        <v>670.1</v>
      </c>
      <c r="J240" s="19">
        <v>0.625</v>
      </c>
      <c r="K240" s="16">
        <v>79.3</v>
      </c>
      <c r="L240" s="19">
        <v>0.92600000000000005</v>
      </c>
      <c r="M240" s="19">
        <v>1.7000000000000001E-2</v>
      </c>
      <c r="N240" s="21">
        <v>59519.01</v>
      </c>
      <c r="O240" s="21">
        <v>38865.93</v>
      </c>
      <c r="P240" s="26">
        <v>20653.080000000002</v>
      </c>
    </row>
    <row r="241" spans="1:16" x14ac:dyDescent="0.3">
      <c r="A241" s="25">
        <v>240</v>
      </c>
      <c r="B241" s="16" t="s">
        <v>44</v>
      </c>
      <c r="C241" s="16">
        <v>2024</v>
      </c>
      <c r="D241" s="16" t="s">
        <v>40</v>
      </c>
      <c r="E241" s="16" t="s">
        <v>30</v>
      </c>
      <c r="F241" s="16" t="s">
        <v>37</v>
      </c>
      <c r="G241" s="16">
        <v>45</v>
      </c>
      <c r="H241" s="16">
        <v>6662</v>
      </c>
      <c r="I241" s="16">
        <v>648</v>
      </c>
      <c r="J241" s="19">
        <v>0.67700000000000005</v>
      </c>
      <c r="K241" s="16">
        <v>94.1</v>
      </c>
      <c r="L241" s="19">
        <v>0.98799999999999999</v>
      </c>
      <c r="M241" s="19">
        <v>1.4E-2</v>
      </c>
      <c r="N241" s="21">
        <v>68119.210000000006</v>
      </c>
      <c r="O241" s="21">
        <v>44994.34</v>
      </c>
      <c r="P241" s="26">
        <v>23124.87</v>
      </c>
    </row>
    <row r="242" spans="1:16" x14ac:dyDescent="0.3">
      <c r="A242" s="25">
        <v>241</v>
      </c>
      <c r="B242" s="16" t="s">
        <v>44</v>
      </c>
      <c r="C242" s="16">
        <v>2024</v>
      </c>
      <c r="D242" s="16" t="s">
        <v>40</v>
      </c>
      <c r="E242" s="16" t="s">
        <v>31</v>
      </c>
      <c r="F242" s="16" t="s">
        <v>37</v>
      </c>
      <c r="G242" s="16">
        <v>63</v>
      </c>
      <c r="H242" s="16">
        <v>11577</v>
      </c>
      <c r="I242" s="16">
        <v>674.5</v>
      </c>
      <c r="J242" s="19">
        <v>0.7</v>
      </c>
      <c r="K242" s="16">
        <v>70.599999999999994</v>
      </c>
      <c r="L242" s="19">
        <v>0.88600000000000001</v>
      </c>
      <c r="M242" s="19">
        <v>2.3E-2</v>
      </c>
      <c r="N242" s="21">
        <v>102721.45</v>
      </c>
      <c r="O242" s="21">
        <v>66702.25</v>
      </c>
      <c r="P242" s="26">
        <v>36019.199999999997</v>
      </c>
    </row>
    <row r="243" spans="1:16" x14ac:dyDescent="0.3">
      <c r="A243" s="25">
        <v>242</v>
      </c>
      <c r="B243" s="16" t="s">
        <v>44</v>
      </c>
      <c r="C243" s="16">
        <v>2024</v>
      </c>
      <c r="D243" s="16" t="s">
        <v>40</v>
      </c>
      <c r="E243" s="16" t="s">
        <v>35</v>
      </c>
      <c r="F243" s="16" t="s">
        <v>37</v>
      </c>
      <c r="G243" s="16">
        <v>43</v>
      </c>
      <c r="H243" s="16">
        <v>8768</v>
      </c>
      <c r="I243" s="16">
        <v>652.6</v>
      </c>
      <c r="J243" s="19">
        <v>0.63800000000000001</v>
      </c>
      <c r="K243" s="16">
        <v>79.599999999999994</v>
      </c>
      <c r="L243" s="19">
        <v>0.93</v>
      </c>
      <c r="M243" s="19">
        <v>3.4000000000000002E-2</v>
      </c>
      <c r="N243" s="21">
        <v>55354.07</v>
      </c>
      <c r="O243" s="21">
        <v>34909.06</v>
      </c>
      <c r="P243" s="26">
        <v>20445.009999999998</v>
      </c>
    </row>
    <row r="244" spans="1:16" x14ac:dyDescent="0.3">
      <c r="A244" s="25">
        <v>243</v>
      </c>
      <c r="B244" s="16" t="s">
        <v>44</v>
      </c>
      <c r="C244" s="16">
        <v>2024</v>
      </c>
      <c r="D244" s="16" t="s">
        <v>41</v>
      </c>
      <c r="E244" s="16" t="s">
        <v>32</v>
      </c>
      <c r="F244" s="16" t="s">
        <v>28</v>
      </c>
      <c r="G244" s="16">
        <v>42</v>
      </c>
      <c r="H244" s="16">
        <v>6963</v>
      </c>
      <c r="I244" s="16">
        <v>408.2</v>
      </c>
      <c r="J244" s="19">
        <v>0.86099999999999999</v>
      </c>
      <c r="K244" s="16">
        <v>80.599999999999994</v>
      </c>
      <c r="L244" s="19">
        <v>0.82499999999999996</v>
      </c>
      <c r="M244" s="19">
        <v>1.2999999999999999E-2</v>
      </c>
      <c r="N244" s="21">
        <v>68593.7</v>
      </c>
      <c r="O244" s="21">
        <v>43282.23</v>
      </c>
      <c r="P244" s="26">
        <v>25311.47</v>
      </c>
    </row>
    <row r="245" spans="1:16" x14ac:dyDescent="0.3">
      <c r="A245" s="25">
        <v>244</v>
      </c>
      <c r="B245" s="16" t="s">
        <v>44</v>
      </c>
      <c r="C245" s="16">
        <v>2024</v>
      </c>
      <c r="D245" s="16" t="s">
        <v>41</v>
      </c>
      <c r="E245" s="16" t="s">
        <v>34</v>
      </c>
      <c r="F245" s="16" t="s">
        <v>28</v>
      </c>
      <c r="G245" s="16">
        <v>64</v>
      </c>
      <c r="H245" s="16">
        <v>12970</v>
      </c>
      <c r="I245" s="16">
        <v>411.6</v>
      </c>
      <c r="J245" s="19">
        <v>0.90700000000000003</v>
      </c>
      <c r="K245" s="16">
        <v>87.3</v>
      </c>
      <c r="L245" s="19">
        <v>0.98399999999999999</v>
      </c>
      <c r="M245" s="19">
        <v>3.5000000000000003E-2</v>
      </c>
      <c r="N245" s="21">
        <v>143597.22</v>
      </c>
      <c r="O245" s="21">
        <v>106302.08</v>
      </c>
      <c r="P245" s="26">
        <v>37295.14</v>
      </c>
    </row>
    <row r="246" spans="1:16" x14ac:dyDescent="0.3">
      <c r="A246" s="25">
        <v>245</v>
      </c>
      <c r="B246" s="16" t="s">
        <v>44</v>
      </c>
      <c r="C246" s="16">
        <v>2024</v>
      </c>
      <c r="D246" s="16" t="s">
        <v>41</v>
      </c>
      <c r="E246" s="16" t="s">
        <v>31</v>
      </c>
      <c r="F246" s="16" t="s">
        <v>28</v>
      </c>
      <c r="G246" s="16">
        <v>27</v>
      </c>
      <c r="H246" s="16">
        <v>4916</v>
      </c>
      <c r="I246" s="16">
        <v>463</v>
      </c>
      <c r="J246" s="19">
        <v>0.872</v>
      </c>
      <c r="K246" s="16">
        <v>82.4</v>
      </c>
      <c r="L246" s="19">
        <v>0.90900000000000003</v>
      </c>
      <c r="M246" s="19">
        <v>2.5000000000000001E-2</v>
      </c>
      <c r="N246" s="21">
        <v>54778.19</v>
      </c>
      <c r="O246" s="21">
        <v>40535.67</v>
      </c>
      <c r="P246" s="26">
        <v>14242.52</v>
      </c>
    </row>
    <row r="247" spans="1:16" x14ac:dyDescent="0.3">
      <c r="A247" s="25">
        <v>246</v>
      </c>
      <c r="B247" s="16" t="s">
        <v>44</v>
      </c>
      <c r="C247" s="16">
        <v>2024</v>
      </c>
      <c r="D247" s="16" t="s">
        <v>41</v>
      </c>
      <c r="E247" s="16" t="s">
        <v>35</v>
      </c>
      <c r="F247" s="16" t="s">
        <v>28</v>
      </c>
      <c r="G247" s="16">
        <v>53</v>
      </c>
      <c r="H247" s="16">
        <v>11308</v>
      </c>
      <c r="I247" s="16">
        <v>451.4</v>
      </c>
      <c r="J247" s="19">
        <v>0.79900000000000004</v>
      </c>
      <c r="K247" s="16">
        <v>95.3</v>
      </c>
      <c r="L247" s="19">
        <v>0.89400000000000002</v>
      </c>
      <c r="M247" s="19">
        <v>3.1E-2</v>
      </c>
      <c r="N247" s="21">
        <v>85471.89</v>
      </c>
      <c r="O247" s="21">
        <v>62789.66</v>
      </c>
      <c r="P247" s="26">
        <v>22682.23</v>
      </c>
    </row>
    <row r="248" spans="1:16" x14ac:dyDescent="0.3">
      <c r="A248" s="25">
        <v>247</v>
      </c>
      <c r="B248" s="16" t="s">
        <v>44</v>
      </c>
      <c r="C248" s="16">
        <v>2024</v>
      </c>
      <c r="D248" s="16" t="s">
        <v>41</v>
      </c>
      <c r="E248" s="16" t="s">
        <v>32</v>
      </c>
      <c r="F248" s="16" t="s">
        <v>33</v>
      </c>
      <c r="G248" s="16">
        <v>24</v>
      </c>
      <c r="H248" s="16">
        <v>4355</v>
      </c>
      <c r="I248" s="16">
        <v>488.9</v>
      </c>
      <c r="J248" s="19">
        <v>0.71099999999999997</v>
      </c>
      <c r="K248" s="16">
        <v>93.8</v>
      </c>
      <c r="L248" s="19">
        <v>0.96699999999999997</v>
      </c>
      <c r="M248" s="19">
        <v>1.6E-2</v>
      </c>
      <c r="N248" s="21">
        <v>46190.87</v>
      </c>
      <c r="O248" s="21">
        <v>30648.17</v>
      </c>
      <c r="P248" s="26">
        <v>15542.7</v>
      </c>
    </row>
    <row r="249" spans="1:16" x14ac:dyDescent="0.3">
      <c r="A249" s="25">
        <v>248</v>
      </c>
      <c r="B249" s="16" t="s">
        <v>44</v>
      </c>
      <c r="C249" s="16">
        <v>2024</v>
      </c>
      <c r="D249" s="16" t="s">
        <v>41</v>
      </c>
      <c r="E249" s="16" t="s">
        <v>27</v>
      </c>
      <c r="F249" s="16" t="s">
        <v>33</v>
      </c>
      <c r="G249" s="16">
        <v>46</v>
      </c>
      <c r="H249" s="16">
        <v>8261</v>
      </c>
      <c r="I249" s="16">
        <v>423.1</v>
      </c>
      <c r="J249" s="19">
        <v>0.80600000000000005</v>
      </c>
      <c r="K249" s="16">
        <v>83.9</v>
      </c>
      <c r="L249" s="19">
        <v>0.83899999999999997</v>
      </c>
      <c r="M249" s="19">
        <v>1.4E-2</v>
      </c>
      <c r="N249" s="21">
        <v>98130.35</v>
      </c>
      <c r="O249" s="21">
        <v>70187.59</v>
      </c>
      <c r="P249" s="26">
        <v>27942.76</v>
      </c>
    </row>
    <row r="250" spans="1:16" x14ac:dyDescent="0.3">
      <c r="A250" s="25">
        <v>249</v>
      </c>
      <c r="B250" s="16" t="s">
        <v>44</v>
      </c>
      <c r="C250" s="16">
        <v>2024</v>
      </c>
      <c r="D250" s="16" t="s">
        <v>41</v>
      </c>
      <c r="E250" s="16" t="s">
        <v>34</v>
      </c>
      <c r="F250" s="16" t="s">
        <v>33</v>
      </c>
      <c r="G250" s="16">
        <v>53</v>
      </c>
      <c r="H250" s="16">
        <v>10330</v>
      </c>
      <c r="I250" s="16">
        <v>452.1</v>
      </c>
      <c r="J250" s="19">
        <v>0.77500000000000002</v>
      </c>
      <c r="K250" s="16">
        <v>89.3</v>
      </c>
      <c r="L250" s="19">
        <v>0.83899999999999997</v>
      </c>
      <c r="M250" s="19">
        <v>1.4999999999999999E-2</v>
      </c>
      <c r="N250" s="21">
        <v>73433.7</v>
      </c>
      <c r="O250" s="21">
        <v>45894.879999999997</v>
      </c>
      <c r="P250" s="26">
        <v>27538.82</v>
      </c>
    </row>
    <row r="251" spans="1:16" x14ac:dyDescent="0.3">
      <c r="A251" s="25">
        <v>250</v>
      </c>
      <c r="B251" s="16" t="s">
        <v>44</v>
      </c>
      <c r="C251" s="16">
        <v>2024</v>
      </c>
      <c r="D251" s="16" t="s">
        <v>41</v>
      </c>
      <c r="E251" s="16" t="s">
        <v>32</v>
      </c>
      <c r="F251" s="16" t="s">
        <v>36</v>
      </c>
      <c r="G251" s="16">
        <v>50</v>
      </c>
      <c r="H251" s="16">
        <v>7271</v>
      </c>
      <c r="I251" s="16">
        <v>903.8</v>
      </c>
      <c r="J251" s="19">
        <v>0.68400000000000005</v>
      </c>
      <c r="K251" s="16">
        <v>90.4</v>
      </c>
      <c r="L251" s="19">
        <v>0.88</v>
      </c>
      <c r="M251" s="19">
        <v>1.7000000000000001E-2</v>
      </c>
      <c r="N251" s="21">
        <v>95252.62</v>
      </c>
      <c r="O251" s="21">
        <v>72787.649999999994</v>
      </c>
      <c r="P251" s="26">
        <v>22464.97</v>
      </c>
    </row>
    <row r="252" spans="1:16" x14ac:dyDescent="0.3">
      <c r="A252" s="25">
        <v>251</v>
      </c>
      <c r="B252" s="16" t="s">
        <v>44</v>
      </c>
      <c r="C252" s="16">
        <v>2024</v>
      </c>
      <c r="D252" s="16" t="s">
        <v>41</v>
      </c>
      <c r="E252" s="16" t="s">
        <v>27</v>
      </c>
      <c r="F252" s="16" t="s">
        <v>36</v>
      </c>
      <c r="G252" s="16">
        <v>50</v>
      </c>
      <c r="H252" s="16">
        <v>9396</v>
      </c>
      <c r="I252" s="16">
        <v>918.8</v>
      </c>
      <c r="J252" s="19">
        <v>0.60799999999999998</v>
      </c>
      <c r="K252" s="16">
        <v>90.8</v>
      </c>
      <c r="L252" s="19">
        <v>0.83899999999999997</v>
      </c>
      <c r="M252" s="19">
        <v>2.5999999999999999E-2</v>
      </c>
      <c r="N252" s="21">
        <v>77233.070000000007</v>
      </c>
      <c r="O252" s="21">
        <v>48161.63</v>
      </c>
      <c r="P252" s="26">
        <v>29071.439999999999</v>
      </c>
    </row>
    <row r="253" spans="1:16" x14ac:dyDescent="0.3">
      <c r="A253" s="25">
        <v>252</v>
      </c>
      <c r="B253" s="16" t="s">
        <v>44</v>
      </c>
      <c r="C253" s="16">
        <v>2024</v>
      </c>
      <c r="D253" s="16" t="s">
        <v>41</v>
      </c>
      <c r="E253" s="16" t="s">
        <v>34</v>
      </c>
      <c r="F253" s="16" t="s">
        <v>36</v>
      </c>
      <c r="G253" s="16">
        <v>17</v>
      </c>
      <c r="H253" s="16">
        <v>3319</v>
      </c>
      <c r="I253" s="16">
        <v>851.9</v>
      </c>
      <c r="J253" s="19">
        <v>0.74199999999999999</v>
      </c>
      <c r="K253" s="16">
        <v>93.7</v>
      </c>
      <c r="L253" s="19">
        <v>0.96399999999999997</v>
      </c>
      <c r="M253" s="19">
        <v>2.5999999999999999E-2</v>
      </c>
      <c r="N253" s="21">
        <v>39746.01</v>
      </c>
      <c r="O253" s="21">
        <v>28614.67</v>
      </c>
      <c r="P253" s="26">
        <v>11131.34</v>
      </c>
    </row>
    <row r="254" spans="1:16" x14ac:dyDescent="0.3">
      <c r="A254" s="25">
        <v>253</v>
      </c>
      <c r="B254" s="16" t="s">
        <v>44</v>
      </c>
      <c r="C254" s="16">
        <v>2024</v>
      </c>
      <c r="D254" s="16" t="s">
        <v>41</v>
      </c>
      <c r="E254" s="16" t="s">
        <v>31</v>
      </c>
      <c r="F254" s="16" t="s">
        <v>36</v>
      </c>
      <c r="G254" s="16">
        <v>69</v>
      </c>
      <c r="H254" s="16">
        <v>15210</v>
      </c>
      <c r="I254" s="16">
        <v>970.8</v>
      </c>
      <c r="J254" s="19">
        <v>0.67</v>
      </c>
      <c r="K254" s="16">
        <v>80.2</v>
      </c>
      <c r="L254" s="19">
        <v>0.94199999999999995</v>
      </c>
      <c r="M254" s="19">
        <v>1.4E-2</v>
      </c>
      <c r="N254" s="21">
        <v>120411.89</v>
      </c>
      <c r="O254" s="21">
        <v>92556.08</v>
      </c>
      <c r="P254" s="26">
        <v>27855.81</v>
      </c>
    </row>
    <row r="255" spans="1:16" x14ac:dyDescent="0.3">
      <c r="A255" s="25">
        <v>254</v>
      </c>
      <c r="B255" s="16" t="s">
        <v>44</v>
      </c>
      <c r="C255" s="16">
        <v>2024</v>
      </c>
      <c r="D255" s="16" t="s">
        <v>41</v>
      </c>
      <c r="E255" s="16" t="s">
        <v>30</v>
      </c>
      <c r="F255" s="16" t="s">
        <v>37</v>
      </c>
      <c r="G255" s="16">
        <v>54</v>
      </c>
      <c r="H255" s="16">
        <v>10842</v>
      </c>
      <c r="I255" s="16">
        <v>636.29999999999995</v>
      </c>
      <c r="J255" s="19">
        <v>0.68700000000000006</v>
      </c>
      <c r="K255" s="16">
        <v>93.8</v>
      </c>
      <c r="L255" s="19">
        <v>0.83599999999999997</v>
      </c>
      <c r="M255" s="19">
        <v>1.4999999999999999E-2</v>
      </c>
      <c r="N255" s="21">
        <v>112804.37</v>
      </c>
      <c r="O255" s="21">
        <v>86935.02</v>
      </c>
      <c r="P255" s="26">
        <v>25869.35</v>
      </c>
    </row>
    <row r="256" spans="1:16" x14ac:dyDescent="0.3">
      <c r="A256" s="25">
        <v>255</v>
      </c>
      <c r="B256" s="16" t="s">
        <v>44</v>
      </c>
      <c r="C256" s="16">
        <v>2024</v>
      </c>
      <c r="D256" s="16" t="s">
        <v>41</v>
      </c>
      <c r="E256" s="16" t="s">
        <v>35</v>
      </c>
      <c r="F256" s="16" t="s">
        <v>37</v>
      </c>
      <c r="G256" s="16">
        <v>60</v>
      </c>
      <c r="H256" s="16">
        <v>12665</v>
      </c>
      <c r="I256" s="16">
        <v>630.29999999999995</v>
      </c>
      <c r="J256" s="19">
        <v>0.65100000000000002</v>
      </c>
      <c r="K256" s="16">
        <v>90.2</v>
      </c>
      <c r="L256" s="19">
        <v>0.93400000000000005</v>
      </c>
      <c r="M256" s="19">
        <v>3.6999999999999998E-2</v>
      </c>
      <c r="N256" s="21">
        <v>88366.07</v>
      </c>
      <c r="O256" s="21">
        <v>61222.45</v>
      </c>
      <c r="P256" s="26">
        <v>27143.62</v>
      </c>
    </row>
    <row r="257" spans="1:16" x14ac:dyDescent="0.3">
      <c r="A257" s="25">
        <v>256</v>
      </c>
      <c r="B257" s="16" t="s">
        <v>45</v>
      </c>
      <c r="C257" s="16">
        <v>2024</v>
      </c>
      <c r="D257" s="16" t="s">
        <v>26</v>
      </c>
      <c r="E257" s="16" t="s">
        <v>32</v>
      </c>
      <c r="F257" s="16" t="s">
        <v>28</v>
      </c>
      <c r="G257" s="16">
        <v>39</v>
      </c>
      <c r="H257" s="16">
        <v>6995</v>
      </c>
      <c r="I257" s="16">
        <v>482.2</v>
      </c>
      <c r="J257" s="19">
        <v>0.83099999999999996</v>
      </c>
      <c r="K257" s="16">
        <v>84.1</v>
      </c>
      <c r="L257" s="19">
        <v>0.90300000000000002</v>
      </c>
      <c r="M257" s="19">
        <v>3.3000000000000002E-2</v>
      </c>
      <c r="N257" s="21">
        <v>57446.14</v>
      </c>
      <c r="O257" s="21">
        <v>40106.559999999998</v>
      </c>
      <c r="P257" s="26">
        <v>17339.580000000002</v>
      </c>
    </row>
    <row r="258" spans="1:16" x14ac:dyDescent="0.3">
      <c r="A258" s="25">
        <v>257</v>
      </c>
      <c r="B258" s="16" t="s">
        <v>45</v>
      </c>
      <c r="C258" s="16">
        <v>2024</v>
      </c>
      <c r="D258" s="16" t="s">
        <v>26</v>
      </c>
      <c r="E258" s="16" t="s">
        <v>34</v>
      </c>
      <c r="F258" s="16" t="s">
        <v>28</v>
      </c>
      <c r="G258" s="16">
        <v>50</v>
      </c>
      <c r="H258" s="16">
        <v>8380</v>
      </c>
      <c r="I258" s="16">
        <v>490.2</v>
      </c>
      <c r="J258" s="19">
        <v>0.874</v>
      </c>
      <c r="K258" s="16">
        <v>79.7</v>
      </c>
      <c r="L258" s="19">
        <v>0.89600000000000002</v>
      </c>
      <c r="M258" s="19">
        <v>2.5999999999999999E-2</v>
      </c>
      <c r="N258" s="21">
        <v>66674.09</v>
      </c>
      <c r="O258" s="21">
        <v>42240.07</v>
      </c>
      <c r="P258" s="26">
        <v>24434.02</v>
      </c>
    </row>
    <row r="259" spans="1:16" x14ac:dyDescent="0.3">
      <c r="A259" s="25">
        <v>258</v>
      </c>
      <c r="B259" s="16" t="s">
        <v>45</v>
      </c>
      <c r="C259" s="16">
        <v>2024</v>
      </c>
      <c r="D259" s="16" t="s">
        <v>26</v>
      </c>
      <c r="E259" s="16" t="s">
        <v>31</v>
      </c>
      <c r="F259" s="16" t="s">
        <v>28</v>
      </c>
      <c r="G259" s="16">
        <v>28</v>
      </c>
      <c r="H259" s="16">
        <v>5190</v>
      </c>
      <c r="I259" s="16">
        <v>445.2</v>
      </c>
      <c r="J259" s="19">
        <v>0.73199999999999998</v>
      </c>
      <c r="K259" s="16">
        <v>86.5</v>
      </c>
      <c r="L259" s="19">
        <v>0.91500000000000004</v>
      </c>
      <c r="M259" s="19">
        <v>2.1999999999999999E-2</v>
      </c>
      <c r="N259" s="21">
        <v>38865.67</v>
      </c>
      <c r="O259" s="21">
        <v>30149.7</v>
      </c>
      <c r="P259" s="26">
        <v>8715.9699999999993</v>
      </c>
    </row>
    <row r="260" spans="1:16" x14ac:dyDescent="0.3">
      <c r="A260" s="25">
        <v>259</v>
      </c>
      <c r="B260" s="16" t="s">
        <v>45</v>
      </c>
      <c r="C260" s="16">
        <v>2024</v>
      </c>
      <c r="D260" s="16" t="s">
        <v>26</v>
      </c>
      <c r="E260" s="16" t="s">
        <v>32</v>
      </c>
      <c r="F260" s="16" t="s">
        <v>29</v>
      </c>
      <c r="G260" s="16">
        <v>42</v>
      </c>
      <c r="H260" s="16">
        <v>6786</v>
      </c>
      <c r="I260" s="16">
        <v>313.7</v>
      </c>
      <c r="J260" s="19">
        <v>0.66900000000000004</v>
      </c>
      <c r="K260" s="16">
        <v>75.7</v>
      </c>
      <c r="L260" s="19">
        <v>0.86</v>
      </c>
      <c r="M260" s="19">
        <v>2.5999999999999999E-2</v>
      </c>
      <c r="N260" s="21">
        <v>44488.62</v>
      </c>
      <c r="O260" s="21">
        <v>30922.13</v>
      </c>
      <c r="P260" s="26">
        <v>13566.49</v>
      </c>
    </row>
    <row r="261" spans="1:16" x14ac:dyDescent="0.3">
      <c r="A261" s="25">
        <v>260</v>
      </c>
      <c r="B261" s="16" t="s">
        <v>45</v>
      </c>
      <c r="C261" s="16">
        <v>2024</v>
      </c>
      <c r="D261" s="16" t="s">
        <v>26</v>
      </c>
      <c r="E261" s="16" t="s">
        <v>35</v>
      </c>
      <c r="F261" s="16" t="s">
        <v>29</v>
      </c>
      <c r="G261" s="16">
        <v>19</v>
      </c>
      <c r="H261" s="16">
        <v>3078</v>
      </c>
      <c r="I261" s="16">
        <v>275.5</v>
      </c>
      <c r="J261" s="19">
        <v>0.71299999999999997</v>
      </c>
      <c r="K261" s="16">
        <v>73.900000000000006</v>
      </c>
      <c r="L261" s="19">
        <v>0.877</v>
      </c>
      <c r="M261" s="19">
        <v>0.02</v>
      </c>
      <c r="N261" s="21">
        <v>21448.880000000001</v>
      </c>
      <c r="O261" s="21">
        <v>14517.7</v>
      </c>
      <c r="P261" s="26">
        <v>6931.18</v>
      </c>
    </row>
    <row r="262" spans="1:16" x14ac:dyDescent="0.3">
      <c r="A262" s="25">
        <v>261</v>
      </c>
      <c r="B262" s="16" t="s">
        <v>45</v>
      </c>
      <c r="C262" s="16">
        <v>2024</v>
      </c>
      <c r="D262" s="16" t="s">
        <v>26</v>
      </c>
      <c r="E262" s="16" t="s">
        <v>32</v>
      </c>
      <c r="F262" s="16" t="s">
        <v>33</v>
      </c>
      <c r="G262" s="16">
        <v>39</v>
      </c>
      <c r="H262" s="16">
        <v>6986</v>
      </c>
      <c r="I262" s="16">
        <v>515.20000000000005</v>
      </c>
      <c r="J262" s="19">
        <v>0.71699999999999997</v>
      </c>
      <c r="K262" s="16">
        <v>74.400000000000006</v>
      </c>
      <c r="L262" s="19">
        <v>0.98099999999999998</v>
      </c>
      <c r="M262" s="19">
        <v>2.5999999999999999E-2</v>
      </c>
      <c r="N262" s="21">
        <v>49848.07</v>
      </c>
      <c r="O262" s="21">
        <v>31999.66</v>
      </c>
      <c r="P262" s="26">
        <v>17848.41</v>
      </c>
    </row>
    <row r="263" spans="1:16" x14ac:dyDescent="0.3">
      <c r="A263" s="25">
        <v>262</v>
      </c>
      <c r="B263" s="16" t="s">
        <v>45</v>
      </c>
      <c r="C263" s="16">
        <v>2024</v>
      </c>
      <c r="D263" s="16" t="s">
        <v>26</v>
      </c>
      <c r="E263" s="16" t="s">
        <v>27</v>
      </c>
      <c r="F263" s="16" t="s">
        <v>33</v>
      </c>
      <c r="G263" s="16">
        <v>27</v>
      </c>
      <c r="H263" s="16">
        <v>4654</v>
      </c>
      <c r="I263" s="16">
        <v>422.9</v>
      </c>
      <c r="J263" s="19">
        <v>0.78700000000000003</v>
      </c>
      <c r="K263" s="16">
        <v>79.8</v>
      </c>
      <c r="L263" s="19">
        <v>0.78700000000000003</v>
      </c>
      <c r="M263" s="19">
        <v>2.8000000000000001E-2</v>
      </c>
      <c r="N263" s="21">
        <v>33601.61</v>
      </c>
      <c r="O263" s="21">
        <v>25254.33</v>
      </c>
      <c r="P263" s="26">
        <v>8347.2800000000007</v>
      </c>
    </row>
    <row r="264" spans="1:16" x14ac:dyDescent="0.3">
      <c r="A264" s="25">
        <v>263</v>
      </c>
      <c r="B264" s="16" t="s">
        <v>45</v>
      </c>
      <c r="C264" s="16">
        <v>2024</v>
      </c>
      <c r="D264" s="16" t="s">
        <v>26</v>
      </c>
      <c r="E264" s="16" t="s">
        <v>35</v>
      </c>
      <c r="F264" s="16" t="s">
        <v>33</v>
      </c>
      <c r="G264" s="16">
        <v>72</v>
      </c>
      <c r="H264" s="16">
        <v>13644</v>
      </c>
      <c r="I264" s="16">
        <v>499.3</v>
      </c>
      <c r="J264" s="19">
        <v>0.76200000000000001</v>
      </c>
      <c r="K264" s="16">
        <v>86</v>
      </c>
      <c r="L264" s="19">
        <v>0.88300000000000001</v>
      </c>
      <c r="M264" s="19">
        <v>8.9999999999999993E-3</v>
      </c>
      <c r="N264" s="21">
        <v>103196.47</v>
      </c>
      <c r="O264" s="21">
        <v>67204.289999999994</v>
      </c>
      <c r="P264" s="26">
        <v>35992.18</v>
      </c>
    </row>
    <row r="265" spans="1:16" x14ac:dyDescent="0.3">
      <c r="A265" s="25">
        <v>264</v>
      </c>
      <c r="B265" s="16" t="s">
        <v>45</v>
      </c>
      <c r="C265" s="16">
        <v>2024</v>
      </c>
      <c r="D265" s="16" t="s">
        <v>26</v>
      </c>
      <c r="E265" s="16" t="s">
        <v>27</v>
      </c>
      <c r="F265" s="16" t="s">
        <v>36</v>
      </c>
      <c r="G265" s="16">
        <v>5</v>
      </c>
      <c r="H265" s="16">
        <v>702</v>
      </c>
      <c r="I265" s="16">
        <v>883</v>
      </c>
      <c r="J265" s="19">
        <v>0.76200000000000001</v>
      </c>
      <c r="K265" s="16">
        <v>81.599999999999994</v>
      </c>
      <c r="L265" s="19">
        <v>0.86799999999999999</v>
      </c>
      <c r="M265" s="19">
        <v>3.9E-2</v>
      </c>
      <c r="N265" s="21">
        <v>4704.75</v>
      </c>
      <c r="O265" s="21">
        <v>3490.88</v>
      </c>
      <c r="P265" s="26">
        <v>1213.8699999999999</v>
      </c>
    </row>
    <row r="266" spans="1:16" x14ac:dyDescent="0.3">
      <c r="A266" s="25">
        <v>265</v>
      </c>
      <c r="B266" s="16" t="s">
        <v>45</v>
      </c>
      <c r="C266" s="16">
        <v>2024</v>
      </c>
      <c r="D266" s="16" t="s">
        <v>26</v>
      </c>
      <c r="E266" s="16" t="s">
        <v>31</v>
      </c>
      <c r="F266" s="16" t="s">
        <v>36</v>
      </c>
      <c r="G266" s="16">
        <v>48</v>
      </c>
      <c r="H266" s="16">
        <v>6960</v>
      </c>
      <c r="I266" s="16">
        <v>886</v>
      </c>
      <c r="J266" s="19">
        <v>0.86099999999999999</v>
      </c>
      <c r="K266" s="16">
        <v>76.8</v>
      </c>
      <c r="L266" s="19">
        <v>0.77400000000000002</v>
      </c>
      <c r="M266" s="19">
        <v>3.5000000000000003E-2</v>
      </c>
      <c r="N266" s="21">
        <v>75378.77</v>
      </c>
      <c r="O266" s="21">
        <v>54714.94</v>
      </c>
      <c r="P266" s="26">
        <v>20663.830000000002</v>
      </c>
    </row>
    <row r="267" spans="1:16" x14ac:dyDescent="0.3">
      <c r="A267" s="25">
        <v>266</v>
      </c>
      <c r="B267" s="16" t="s">
        <v>45</v>
      </c>
      <c r="C267" s="16">
        <v>2024</v>
      </c>
      <c r="D267" s="16" t="s">
        <v>26</v>
      </c>
      <c r="E267" s="16" t="s">
        <v>32</v>
      </c>
      <c r="F267" s="16" t="s">
        <v>37</v>
      </c>
      <c r="G267" s="16">
        <v>36</v>
      </c>
      <c r="H267" s="16">
        <v>5543</v>
      </c>
      <c r="I267" s="16">
        <v>635.70000000000005</v>
      </c>
      <c r="J267" s="19">
        <v>0.64800000000000002</v>
      </c>
      <c r="K267" s="16">
        <v>77.3</v>
      </c>
      <c r="L267" s="19">
        <v>0.83399999999999996</v>
      </c>
      <c r="M267" s="19">
        <v>3.5999999999999997E-2</v>
      </c>
      <c r="N267" s="21">
        <v>42521.19</v>
      </c>
      <c r="O267" s="21">
        <v>28911.34</v>
      </c>
      <c r="P267" s="26">
        <v>13609.85</v>
      </c>
    </row>
    <row r="268" spans="1:16" x14ac:dyDescent="0.3">
      <c r="A268" s="25">
        <v>267</v>
      </c>
      <c r="B268" s="16" t="s">
        <v>45</v>
      </c>
      <c r="C268" s="16">
        <v>2024</v>
      </c>
      <c r="D268" s="16" t="s">
        <v>26</v>
      </c>
      <c r="E268" s="16" t="s">
        <v>27</v>
      </c>
      <c r="F268" s="16" t="s">
        <v>37</v>
      </c>
      <c r="G268" s="16">
        <v>34</v>
      </c>
      <c r="H268" s="16">
        <v>5679</v>
      </c>
      <c r="I268" s="16">
        <v>707.2</v>
      </c>
      <c r="J268" s="19">
        <v>0.69199999999999995</v>
      </c>
      <c r="K268" s="16">
        <v>77.3</v>
      </c>
      <c r="L268" s="19">
        <v>0.83399999999999996</v>
      </c>
      <c r="M268" s="19">
        <v>3.3000000000000002E-2</v>
      </c>
      <c r="N268" s="21">
        <v>44586.83</v>
      </c>
      <c r="O268" s="21">
        <v>29200.5</v>
      </c>
      <c r="P268" s="26">
        <v>15386.33</v>
      </c>
    </row>
    <row r="269" spans="1:16" x14ac:dyDescent="0.3">
      <c r="A269" s="25">
        <v>268</v>
      </c>
      <c r="B269" s="16" t="s">
        <v>45</v>
      </c>
      <c r="C269" s="16">
        <v>2024</v>
      </c>
      <c r="D269" s="16" t="s">
        <v>26</v>
      </c>
      <c r="E269" s="16" t="s">
        <v>30</v>
      </c>
      <c r="F269" s="16" t="s">
        <v>37</v>
      </c>
      <c r="G269" s="16">
        <v>32</v>
      </c>
      <c r="H269" s="16">
        <v>4893</v>
      </c>
      <c r="I269" s="16">
        <v>681.4</v>
      </c>
      <c r="J269" s="19">
        <v>0.754</v>
      </c>
      <c r="K269" s="16">
        <v>76.8</v>
      </c>
      <c r="L269" s="19">
        <v>0.77500000000000002</v>
      </c>
      <c r="M269" s="19">
        <v>3.3000000000000002E-2</v>
      </c>
      <c r="N269" s="21">
        <v>37548.11</v>
      </c>
      <c r="O269" s="21">
        <v>23843.21</v>
      </c>
      <c r="P269" s="26">
        <v>13704.9</v>
      </c>
    </row>
    <row r="270" spans="1:16" x14ac:dyDescent="0.3">
      <c r="A270" s="25">
        <v>269</v>
      </c>
      <c r="B270" s="16" t="s">
        <v>45</v>
      </c>
      <c r="C270" s="16">
        <v>2024</v>
      </c>
      <c r="D270" s="16" t="s">
        <v>26</v>
      </c>
      <c r="E270" s="16" t="s">
        <v>31</v>
      </c>
      <c r="F270" s="16" t="s">
        <v>37</v>
      </c>
      <c r="G270" s="16">
        <v>35</v>
      </c>
      <c r="H270" s="16">
        <v>5468</v>
      </c>
      <c r="I270" s="16">
        <v>657.2</v>
      </c>
      <c r="J270" s="19">
        <v>0.73299999999999998</v>
      </c>
      <c r="K270" s="16">
        <v>88</v>
      </c>
      <c r="L270" s="19">
        <v>0.89700000000000002</v>
      </c>
      <c r="M270" s="19">
        <v>2.5999999999999999E-2</v>
      </c>
      <c r="N270" s="21">
        <v>36519.800000000003</v>
      </c>
      <c r="O270" s="21">
        <v>25154.75</v>
      </c>
      <c r="P270" s="26">
        <v>11365.05</v>
      </c>
    </row>
    <row r="271" spans="1:16" x14ac:dyDescent="0.3">
      <c r="A271" s="25">
        <v>270</v>
      </c>
      <c r="B271" s="16" t="s">
        <v>45</v>
      </c>
      <c r="C271" s="16">
        <v>2024</v>
      </c>
      <c r="D271" s="16" t="s">
        <v>26</v>
      </c>
      <c r="E271" s="16" t="s">
        <v>35</v>
      </c>
      <c r="F271" s="16" t="s">
        <v>37</v>
      </c>
      <c r="G271" s="16">
        <v>62</v>
      </c>
      <c r="H271" s="16">
        <v>10177</v>
      </c>
      <c r="I271" s="16">
        <v>636</v>
      </c>
      <c r="J271" s="19">
        <v>0.61299999999999999</v>
      </c>
      <c r="K271" s="16">
        <v>92.1</v>
      </c>
      <c r="L271" s="19">
        <v>0.90100000000000002</v>
      </c>
      <c r="M271" s="19">
        <v>0.03</v>
      </c>
      <c r="N271" s="21">
        <v>76808.95</v>
      </c>
      <c r="O271" s="21">
        <v>53781.94</v>
      </c>
      <c r="P271" s="26">
        <v>23027.01</v>
      </c>
    </row>
    <row r="272" spans="1:16" x14ac:dyDescent="0.3">
      <c r="A272" s="25">
        <v>271</v>
      </c>
      <c r="B272" s="16" t="s">
        <v>45</v>
      </c>
      <c r="C272" s="16">
        <v>2024</v>
      </c>
      <c r="D272" s="16" t="s">
        <v>38</v>
      </c>
      <c r="E272" s="16" t="s">
        <v>30</v>
      </c>
      <c r="F272" s="16" t="s">
        <v>28</v>
      </c>
      <c r="G272" s="16">
        <v>62</v>
      </c>
      <c r="H272" s="16">
        <v>10372</v>
      </c>
      <c r="I272" s="16">
        <v>357.9</v>
      </c>
      <c r="J272" s="19">
        <v>0.76200000000000001</v>
      </c>
      <c r="K272" s="16">
        <v>85.2</v>
      </c>
      <c r="L272" s="19">
        <v>0.85099999999999998</v>
      </c>
      <c r="M272" s="19">
        <v>2.3E-2</v>
      </c>
      <c r="N272" s="21">
        <v>80433.06</v>
      </c>
      <c r="O272" s="21">
        <v>54755.63</v>
      </c>
      <c r="P272" s="26">
        <v>25677.43</v>
      </c>
    </row>
    <row r="273" spans="1:16" x14ac:dyDescent="0.3">
      <c r="A273" s="25">
        <v>272</v>
      </c>
      <c r="B273" s="16" t="s">
        <v>45</v>
      </c>
      <c r="C273" s="16">
        <v>2024</v>
      </c>
      <c r="D273" s="16" t="s">
        <v>38</v>
      </c>
      <c r="E273" s="16" t="s">
        <v>34</v>
      </c>
      <c r="F273" s="16" t="s">
        <v>28</v>
      </c>
      <c r="G273" s="16">
        <v>66</v>
      </c>
      <c r="H273" s="16">
        <v>10479</v>
      </c>
      <c r="I273" s="16">
        <v>433</v>
      </c>
      <c r="J273" s="19">
        <v>0.753</v>
      </c>
      <c r="K273" s="16">
        <v>87.8</v>
      </c>
      <c r="L273" s="19">
        <v>0.94499999999999995</v>
      </c>
      <c r="M273" s="19">
        <v>2.1000000000000001E-2</v>
      </c>
      <c r="N273" s="21">
        <v>93181.77</v>
      </c>
      <c r="O273" s="21">
        <v>63547.32</v>
      </c>
      <c r="P273" s="26">
        <v>29634.45</v>
      </c>
    </row>
    <row r="274" spans="1:16" x14ac:dyDescent="0.3">
      <c r="A274" s="25">
        <v>273</v>
      </c>
      <c r="B274" s="16" t="s">
        <v>45</v>
      </c>
      <c r="C274" s="16">
        <v>2024</v>
      </c>
      <c r="D274" s="16" t="s">
        <v>38</v>
      </c>
      <c r="E274" s="16" t="s">
        <v>32</v>
      </c>
      <c r="F274" s="16" t="s">
        <v>29</v>
      </c>
      <c r="G274" s="16">
        <v>68</v>
      </c>
      <c r="H274" s="16">
        <v>11897</v>
      </c>
      <c r="I274" s="16">
        <v>271.89999999999998</v>
      </c>
      <c r="J274" s="19">
        <v>0.57799999999999996</v>
      </c>
      <c r="K274" s="16">
        <v>83.5</v>
      </c>
      <c r="L274" s="19">
        <v>0.94199999999999995</v>
      </c>
      <c r="M274" s="19">
        <v>3.4000000000000002E-2</v>
      </c>
      <c r="N274" s="21">
        <v>63074.92</v>
      </c>
      <c r="O274" s="21">
        <v>45953.86</v>
      </c>
      <c r="P274" s="26">
        <v>17121.060000000001</v>
      </c>
    </row>
    <row r="275" spans="1:16" x14ac:dyDescent="0.3">
      <c r="A275" s="25">
        <v>274</v>
      </c>
      <c r="B275" s="16" t="s">
        <v>45</v>
      </c>
      <c r="C275" s="16">
        <v>2024</v>
      </c>
      <c r="D275" s="16" t="s">
        <v>38</v>
      </c>
      <c r="E275" s="16" t="s">
        <v>30</v>
      </c>
      <c r="F275" s="16" t="s">
        <v>29</v>
      </c>
      <c r="G275" s="16">
        <v>31</v>
      </c>
      <c r="H275" s="16">
        <v>5968</v>
      </c>
      <c r="I275" s="16">
        <v>335</v>
      </c>
      <c r="J275" s="19">
        <v>0.73799999999999999</v>
      </c>
      <c r="K275" s="16">
        <v>78</v>
      </c>
      <c r="L275" s="19">
        <v>0.80200000000000005</v>
      </c>
      <c r="M275" s="19">
        <v>0.03</v>
      </c>
      <c r="N275" s="21">
        <v>40215.699999999997</v>
      </c>
      <c r="O275" s="21">
        <v>27143.26</v>
      </c>
      <c r="P275" s="26">
        <v>13072.44</v>
      </c>
    </row>
    <row r="276" spans="1:16" x14ac:dyDescent="0.3">
      <c r="A276" s="25">
        <v>275</v>
      </c>
      <c r="B276" s="16" t="s">
        <v>45</v>
      </c>
      <c r="C276" s="16">
        <v>2024</v>
      </c>
      <c r="D276" s="16" t="s">
        <v>38</v>
      </c>
      <c r="E276" s="16" t="s">
        <v>34</v>
      </c>
      <c r="F276" s="16" t="s">
        <v>29</v>
      </c>
      <c r="G276" s="16">
        <v>54</v>
      </c>
      <c r="H276" s="16">
        <v>9066</v>
      </c>
      <c r="I276" s="16">
        <v>313</v>
      </c>
      <c r="J276" s="19">
        <v>0.58099999999999996</v>
      </c>
      <c r="K276" s="16">
        <v>81.400000000000006</v>
      </c>
      <c r="L276" s="19">
        <v>0.88900000000000001</v>
      </c>
      <c r="M276" s="19">
        <v>2E-3</v>
      </c>
      <c r="N276" s="21">
        <v>48843.09</v>
      </c>
      <c r="O276" s="21">
        <v>35455.5</v>
      </c>
      <c r="P276" s="26">
        <v>13387.59</v>
      </c>
    </row>
    <row r="277" spans="1:16" x14ac:dyDescent="0.3">
      <c r="A277" s="25">
        <v>276</v>
      </c>
      <c r="B277" s="16" t="s">
        <v>45</v>
      </c>
      <c r="C277" s="16">
        <v>2024</v>
      </c>
      <c r="D277" s="16" t="s">
        <v>38</v>
      </c>
      <c r="E277" s="16" t="s">
        <v>31</v>
      </c>
      <c r="F277" s="16" t="s">
        <v>29</v>
      </c>
      <c r="G277" s="16">
        <v>52</v>
      </c>
      <c r="H277" s="16">
        <v>10644</v>
      </c>
      <c r="I277" s="16">
        <v>262</v>
      </c>
      <c r="J277" s="19">
        <v>0.755</v>
      </c>
      <c r="K277" s="16">
        <v>85.7</v>
      </c>
      <c r="L277" s="19">
        <v>0.96799999999999997</v>
      </c>
      <c r="M277" s="19">
        <v>0.03</v>
      </c>
      <c r="N277" s="21">
        <v>61481.55</v>
      </c>
      <c r="O277" s="21">
        <v>40790.629999999997</v>
      </c>
      <c r="P277" s="26">
        <v>20690.919999999998</v>
      </c>
    </row>
    <row r="278" spans="1:16" x14ac:dyDescent="0.3">
      <c r="A278" s="25">
        <v>277</v>
      </c>
      <c r="B278" s="16" t="s">
        <v>45</v>
      </c>
      <c r="C278" s="16">
        <v>2024</v>
      </c>
      <c r="D278" s="16" t="s">
        <v>38</v>
      </c>
      <c r="E278" s="16" t="s">
        <v>34</v>
      </c>
      <c r="F278" s="16" t="s">
        <v>33</v>
      </c>
      <c r="G278" s="16">
        <v>50</v>
      </c>
      <c r="H278" s="16">
        <v>7986</v>
      </c>
      <c r="I278" s="16">
        <v>407.2</v>
      </c>
      <c r="J278" s="19">
        <v>0.75600000000000001</v>
      </c>
      <c r="K278" s="16">
        <v>76.400000000000006</v>
      </c>
      <c r="L278" s="19">
        <v>0.81799999999999995</v>
      </c>
      <c r="M278" s="19">
        <v>3.1E-2</v>
      </c>
      <c r="N278" s="21">
        <v>88600.14</v>
      </c>
      <c r="O278" s="21">
        <v>57262.7</v>
      </c>
      <c r="P278" s="26">
        <v>31337.439999999999</v>
      </c>
    </row>
    <row r="279" spans="1:16" x14ac:dyDescent="0.3">
      <c r="A279" s="25">
        <v>278</v>
      </c>
      <c r="B279" s="16" t="s">
        <v>45</v>
      </c>
      <c r="C279" s="16">
        <v>2024</v>
      </c>
      <c r="D279" s="16" t="s">
        <v>38</v>
      </c>
      <c r="E279" s="16" t="s">
        <v>32</v>
      </c>
      <c r="F279" s="16" t="s">
        <v>36</v>
      </c>
      <c r="G279" s="16">
        <v>63</v>
      </c>
      <c r="H279" s="16">
        <v>9689</v>
      </c>
      <c r="I279" s="16">
        <v>921.7</v>
      </c>
      <c r="J279" s="19">
        <v>0.71199999999999997</v>
      </c>
      <c r="K279" s="16">
        <v>86.3</v>
      </c>
      <c r="L279" s="19">
        <v>0.94399999999999995</v>
      </c>
      <c r="M279" s="19">
        <v>4.4999999999999998E-2</v>
      </c>
      <c r="N279" s="21">
        <v>87470.35</v>
      </c>
      <c r="O279" s="21">
        <v>59822.98</v>
      </c>
      <c r="P279" s="26">
        <v>27647.37</v>
      </c>
    </row>
    <row r="280" spans="1:16" x14ac:dyDescent="0.3">
      <c r="A280" s="25">
        <v>279</v>
      </c>
      <c r="B280" s="16" t="s">
        <v>45</v>
      </c>
      <c r="C280" s="16">
        <v>2024</v>
      </c>
      <c r="D280" s="16" t="s">
        <v>38</v>
      </c>
      <c r="E280" s="16" t="s">
        <v>34</v>
      </c>
      <c r="F280" s="16" t="s">
        <v>36</v>
      </c>
      <c r="G280" s="16">
        <v>43</v>
      </c>
      <c r="H280" s="16">
        <v>7482</v>
      </c>
      <c r="I280" s="16">
        <v>854.8</v>
      </c>
      <c r="J280" s="19">
        <v>0.84499999999999997</v>
      </c>
      <c r="K280" s="16">
        <v>92.6</v>
      </c>
      <c r="L280" s="19">
        <v>0.90400000000000003</v>
      </c>
      <c r="M280" s="19">
        <v>3.7999999999999999E-2</v>
      </c>
      <c r="N280" s="21">
        <v>63093.04</v>
      </c>
      <c r="O280" s="21">
        <v>44491.11</v>
      </c>
      <c r="P280" s="26">
        <v>18601.93</v>
      </c>
    </row>
    <row r="281" spans="1:16" x14ac:dyDescent="0.3">
      <c r="A281" s="25">
        <v>280</v>
      </c>
      <c r="B281" s="16" t="s">
        <v>45</v>
      </c>
      <c r="C281" s="16">
        <v>2024</v>
      </c>
      <c r="D281" s="16" t="s">
        <v>38</v>
      </c>
      <c r="E281" s="16" t="s">
        <v>32</v>
      </c>
      <c r="F281" s="16" t="s">
        <v>37</v>
      </c>
      <c r="G281" s="16">
        <v>50</v>
      </c>
      <c r="H281" s="16">
        <v>8433</v>
      </c>
      <c r="I281" s="16">
        <v>583.70000000000005</v>
      </c>
      <c r="J281" s="19">
        <v>0.628</v>
      </c>
      <c r="K281" s="16">
        <v>79.900000000000006</v>
      </c>
      <c r="L281" s="19">
        <v>0.93300000000000005</v>
      </c>
      <c r="M281" s="19">
        <v>5.0999999999999997E-2</v>
      </c>
      <c r="N281" s="21">
        <v>50114.400000000001</v>
      </c>
      <c r="O281" s="21">
        <v>33098.42</v>
      </c>
      <c r="P281" s="26">
        <v>17015.98</v>
      </c>
    </row>
    <row r="282" spans="1:16" x14ac:dyDescent="0.3">
      <c r="A282" s="25">
        <v>281</v>
      </c>
      <c r="B282" s="16" t="s">
        <v>45</v>
      </c>
      <c r="C282" s="16">
        <v>2024</v>
      </c>
      <c r="D282" s="16" t="s">
        <v>38</v>
      </c>
      <c r="E282" s="16" t="s">
        <v>27</v>
      </c>
      <c r="F282" s="16" t="s">
        <v>37</v>
      </c>
      <c r="G282" s="16">
        <v>61</v>
      </c>
      <c r="H282" s="16">
        <v>9874</v>
      </c>
      <c r="I282" s="16">
        <v>656.3</v>
      </c>
      <c r="J282" s="19">
        <v>0.76</v>
      </c>
      <c r="K282" s="16">
        <v>75.599999999999994</v>
      </c>
      <c r="L282" s="19">
        <v>0.86499999999999999</v>
      </c>
      <c r="M282" s="19">
        <v>1.7999999999999999E-2</v>
      </c>
      <c r="N282" s="21">
        <v>97395.12</v>
      </c>
      <c r="O282" s="21">
        <v>63642.79</v>
      </c>
      <c r="P282" s="26">
        <v>33752.33</v>
      </c>
    </row>
    <row r="283" spans="1:16" x14ac:dyDescent="0.3">
      <c r="A283" s="25">
        <v>282</v>
      </c>
      <c r="B283" s="16" t="s">
        <v>45</v>
      </c>
      <c r="C283" s="16">
        <v>2024</v>
      </c>
      <c r="D283" s="16" t="s">
        <v>38</v>
      </c>
      <c r="E283" s="16" t="s">
        <v>35</v>
      </c>
      <c r="F283" s="16" t="s">
        <v>37</v>
      </c>
      <c r="G283" s="16">
        <v>36</v>
      </c>
      <c r="H283" s="16">
        <v>5184</v>
      </c>
      <c r="I283" s="16">
        <v>679.4</v>
      </c>
      <c r="J283" s="19">
        <v>0.70799999999999996</v>
      </c>
      <c r="K283" s="16">
        <v>78</v>
      </c>
      <c r="L283" s="19">
        <v>0.92500000000000004</v>
      </c>
      <c r="M283" s="19">
        <v>0.01</v>
      </c>
      <c r="N283" s="21">
        <v>46666.1</v>
      </c>
      <c r="O283" s="21">
        <v>29818.84</v>
      </c>
      <c r="P283" s="26">
        <v>16847.259999999998</v>
      </c>
    </row>
    <row r="284" spans="1:16" x14ac:dyDescent="0.3">
      <c r="A284" s="25">
        <v>283</v>
      </c>
      <c r="B284" s="16" t="s">
        <v>45</v>
      </c>
      <c r="C284" s="16">
        <v>2024</v>
      </c>
      <c r="D284" s="16" t="s">
        <v>39</v>
      </c>
      <c r="E284" s="16" t="s">
        <v>32</v>
      </c>
      <c r="F284" s="16" t="s">
        <v>28</v>
      </c>
      <c r="G284" s="16">
        <v>50</v>
      </c>
      <c r="H284" s="16">
        <v>10703</v>
      </c>
      <c r="I284" s="16">
        <v>418.9</v>
      </c>
      <c r="J284" s="19">
        <v>0.749</v>
      </c>
      <c r="K284" s="16">
        <v>75.3</v>
      </c>
      <c r="L284" s="19">
        <v>0.91</v>
      </c>
      <c r="M284" s="19">
        <v>2.7E-2</v>
      </c>
      <c r="N284" s="21">
        <v>75560.94</v>
      </c>
      <c r="O284" s="21">
        <v>53644.51</v>
      </c>
      <c r="P284" s="26">
        <v>21916.43</v>
      </c>
    </row>
    <row r="285" spans="1:16" x14ac:dyDescent="0.3">
      <c r="A285" s="25">
        <v>284</v>
      </c>
      <c r="B285" s="16" t="s">
        <v>45</v>
      </c>
      <c r="C285" s="16">
        <v>2024</v>
      </c>
      <c r="D285" s="16" t="s">
        <v>39</v>
      </c>
      <c r="E285" s="16" t="s">
        <v>27</v>
      </c>
      <c r="F285" s="16" t="s">
        <v>28</v>
      </c>
      <c r="G285" s="16">
        <v>42</v>
      </c>
      <c r="H285" s="16">
        <v>6585</v>
      </c>
      <c r="I285" s="16">
        <v>430.7</v>
      </c>
      <c r="J285" s="19">
        <v>0.72599999999999998</v>
      </c>
      <c r="K285" s="16">
        <v>81.900000000000006</v>
      </c>
      <c r="L285" s="19">
        <v>0.88700000000000001</v>
      </c>
      <c r="M285" s="19">
        <v>3.5000000000000003E-2</v>
      </c>
      <c r="N285" s="21">
        <v>56302.22</v>
      </c>
      <c r="O285" s="21">
        <v>39867.949999999997</v>
      </c>
      <c r="P285" s="26">
        <v>16434.27</v>
      </c>
    </row>
    <row r="286" spans="1:16" x14ac:dyDescent="0.3">
      <c r="A286" s="25">
        <v>285</v>
      </c>
      <c r="B286" s="16" t="s">
        <v>45</v>
      </c>
      <c r="C286" s="16">
        <v>2024</v>
      </c>
      <c r="D286" s="16" t="s">
        <v>39</v>
      </c>
      <c r="E286" s="16" t="s">
        <v>34</v>
      </c>
      <c r="F286" s="16" t="s">
        <v>28</v>
      </c>
      <c r="G286" s="16">
        <v>51</v>
      </c>
      <c r="H286" s="16">
        <v>10084</v>
      </c>
      <c r="I286" s="16">
        <v>365.1</v>
      </c>
      <c r="J286" s="19">
        <v>0.73699999999999999</v>
      </c>
      <c r="K286" s="16">
        <v>79.599999999999994</v>
      </c>
      <c r="L286" s="19">
        <v>1</v>
      </c>
      <c r="M286" s="19">
        <v>2.1999999999999999E-2</v>
      </c>
      <c r="N286" s="21">
        <v>66820.47</v>
      </c>
      <c r="O286" s="21">
        <v>48465.26</v>
      </c>
      <c r="P286" s="26">
        <v>18355.21</v>
      </c>
    </row>
    <row r="287" spans="1:16" x14ac:dyDescent="0.3">
      <c r="A287" s="25">
        <v>286</v>
      </c>
      <c r="B287" s="16" t="s">
        <v>45</v>
      </c>
      <c r="C287" s="16">
        <v>2024</v>
      </c>
      <c r="D287" s="16" t="s">
        <v>39</v>
      </c>
      <c r="E287" s="16" t="s">
        <v>30</v>
      </c>
      <c r="F287" s="16" t="s">
        <v>29</v>
      </c>
      <c r="G287" s="16">
        <v>43</v>
      </c>
      <c r="H287" s="16">
        <v>6906</v>
      </c>
      <c r="I287" s="16">
        <v>239.4</v>
      </c>
      <c r="J287" s="19">
        <v>0.66900000000000004</v>
      </c>
      <c r="K287" s="16">
        <v>86.8</v>
      </c>
      <c r="L287" s="19">
        <v>0.91400000000000003</v>
      </c>
      <c r="M287" s="19">
        <v>0.03</v>
      </c>
      <c r="N287" s="21">
        <v>65232.12</v>
      </c>
      <c r="O287" s="21">
        <v>47017.440000000002</v>
      </c>
      <c r="P287" s="26">
        <v>18214.68</v>
      </c>
    </row>
    <row r="288" spans="1:16" x14ac:dyDescent="0.3">
      <c r="A288" s="25">
        <v>287</v>
      </c>
      <c r="B288" s="16" t="s">
        <v>45</v>
      </c>
      <c r="C288" s="16">
        <v>2024</v>
      </c>
      <c r="D288" s="16" t="s">
        <v>39</v>
      </c>
      <c r="E288" s="16" t="s">
        <v>31</v>
      </c>
      <c r="F288" s="16" t="s">
        <v>29</v>
      </c>
      <c r="G288" s="16">
        <v>74</v>
      </c>
      <c r="H288" s="16">
        <v>13286</v>
      </c>
      <c r="I288" s="16">
        <v>365.1</v>
      </c>
      <c r="J288" s="19">
        <v>0.62</v>
      </c>
      <c r="K288" s="16">
        <v>76.5</v>
      </c>
      <c r="L288" s="19">
        <v>0.90900000000000003</v>
      </c>
      <c r="M288" s="19">
        <v>3.3000000000000002E-2</v>
      </c>
      <c r="N288" s="21">
        <v>113993.3</v>
      </c>
      <c r="O288" s="21">
        <v>86081.65</v>
      </c>
      <c r="P288" s="26">
        <v>27911.65</v>
      </c>
    </row>
    <row r="289" spans="1:16" x14ac:dyDescent="0.3">
      <c r="A289" s="25">
        <v>288</v>
      </c>
      <c r="B289" s="16" t="s">
        <v>45</v>
      </c>
      <c r="C289" s="16">
        <v>2024</v>
      </c>
      <c r="D289" s="16" t="s">
        <v>39</v>
      </c>
      <c r="E289" s="16" t="s">
        <v>27</v>
      </c>
      <c r="F289" s="16" t="s">
        <v>33</v>
      </c>
      <c r="G289" s="16">
        <v>54</v>
      </c>
      <c r="H289" s="16">
        <v>8738</v>
      </c>
      <c r="I289" s="16">
        <v>574</v>
      </c>
      <c r="J289" s="19">
        <v>0.57999999999999996</v>
      </c>
      <c r="K289" s="16">
        <v>86.4</v>
      </c>
      <c r="L289" s="19">
        <v>0.88600000000000001</v>
      </c>
      <c r="M289" s="19">
        <v>1.2E-2</v>
      </c>
      <c r="N289" s="21">
        <v>67171.009999999995</v>
      </c>
      <c r="O289" s="21">
        <v>44569.29</v>
      </c>
      <c r="P289" s="26">
        <v>22601.72</v>
      </c>
    </row>
    <row r="290" spans="1:16" x14ac:dyDescent="0.3">
      <c r="A290" s="25">
        <v>289</v>
      </c>
      <c r="B290" s="16" t="s">
        <v>45</v>
      </c>
      <c r="C290" s="16">
        <v>2024</v>
      </c>
      <c r="D290" s="16" t="s">
        <v>39</v>
      </c>
      <c r="E290" s="16" t="s">
        <v>34</v>
      </c>
      <c r="F290" s="16" t="s">
        <v>33</v>
      </c>
      <c r="G290" s="16">
        <v>43</v>
      </c>
      <c r="H290" s="16">
        <v>7783</v>
      </c>
      <c r="I290" s="16">
        <v>445.4</v>
      </c>
      <c r="J290" s="19">
        <v>0.81699999999999995</v>
      </c>
      <c r="K290" s="16">
        <v>88.2</v>
      </c>
      <c r="L290" s="19">
        <v>0.89200000000000002</v>
      </c>
      <c r="M290" s="19">
        <v>3.5999999999999997E-2</v>
      </c>
      <c r="N290" s="21">
        <v>74099.899999999994</v>
      </c>
      <c r="O290" s="21">
        <v>55228.71</v>
      </c>
      <c r="P290" s="26">
        <v>18871.189999999999</v>
      </c>
    </row>
    <row r="291" spans="1:16" x14ac:dyDescent="0.3">
      <c r="A291" s="25">
        <v>290</v>
      </c>
      <c r="B291" s="16" t="s">
        <v>45</v>
      </c>
      <c r="C291" s="16">
        <v>2024</v>
      </c>
      <c r="D291" s="16" t="s">
        <v>39</v>
      </c>
      <c r="E291" s="16" t="s">
        <v>35</v>
      </c>
      <c r="F291" s="16" t="s">
        <v>33</v>
      </c>
      <c r="G291" s="16">
        <v>46</v>
      </c>
      <c r="H291" s="16">
        <v>7579</v>
      </c>
      <c r="I291" s="16">
        <v>531.29999999999995</v>
      </c>
      <c r="J291" s="19">
        <v>0.80500000000000005</v>
      </c>
      <c r="K291" s="16">
        <v>85.2</v>
      </c>
      <c r="L291" s="19">
        <v>0.85699999999999998</v>
      </c>
      <c r="M291" s="19">
        <v>1.7999999999999999E-2</v>
      </c>
      <c r="N291" s="21">
        <v>62506.76</v>
      </c>
      <c r="O291" s="21">
        <v>44219.37</v>
      </c>
      <c r="P291" s="26">
        <v>18287.39</v>
      </c>
    </row>
    <row r="292" spans="1:16" x14ac:dyDescent="0.3">
      <c r="A292" s="25">
        <v>291</v>
      </c>
      <c r="B292" s="16" t="s">
        <v>45</v>
      </c>
      <c r="C292" s="16">
        <v>2024</v>
      </c>
      <c r="D292" s="16" t="s">
        <v>39</v>
      </c>
      <c r="E292" s="16" t="s">
        <v>31</v>
      </c>
      <c r="F292" s="16" t="s">
        <v>36</v>
      </c>
      <c r="G292" s="16">
        <v>32</v>
      </c>
      <c r="H292" s="16">
        <v>5349</v>
      </c>
      <c r="I292" s="16">
        <v>854.7</v>
      </c>
      <c r="J292" s="19">
        <v>0.72099999999999997</v>
      </c>
      <c r="K292" s="16">
        <v>80.099999999999994</v>
      </c>
      <c r="L292" s="19">
        <v>0.86399999999999999</v>
      </c>
      <c r="M292" s="19">
        <v>2.5000000000000001E-2</v>
      </c>
      <c r="N292" s="21">
        <v>46028.95</v>
      </c>
      <c r="O292" s="21">
        <v>28828.06</v>
      </c>
      <c r="P292" s="26">
        <v>17200.89</v>
      </c>
    </row>
    <row r="293" spans="1:16" x14ac:dyDescent="0.3">
      <c r="A293" s="25">
        <v>292</v>
      </c>
      <c r="B293" s="16" t="s">
        <v>45</v>
      </c>
      <c r="C293" s="16">
        <v>2024</v>
      </c>
      <c r="D293" s="16" t="s">
        <v>39</v>
      </c>
      <c r="E293" s="16" t="s">
        <v>35</v>
      </c>
      <c r="F293" s="16" t="s">
        <v>36</v>
      </c>
      <c r="G293" s="16">
        <v>39</v>
      </c>
      <c r="H293" s="16">
        <v>6639</v>
      </c>
      <c r="I293" s="16">
        <v>892.7</v>
      </c>
      <c r="J293" s="19">
        <v>0.70199999999999996</v>
      </c>
      <c r="K293" s="16">
        <v>78.599999999999994</v>
      </c>
      <c r="L293" s="19">
        <v>0.90600000000000003</v>
      </c>
      <c r="M293" s="19">
        <v>0.04</v>
      </c>
      <c r="N293" s="21">
        <v>52035.09</v>
      </c>
      <c r="O293" s="21">
        <v>35572.720000000001</v>
      </c>
      <c r="P293" s="26">
        <v>16462.37</v>
      </c>
    </row>
    <row r="294" spans="1:16" x14ac:dyDescent="0.3">
      <c r="A294" s="25">
        <v>293</v>
      </c>
      <c r="B294" s="16" t="s">
        <v>45</v>
      </c>
      <c r="C294" s="16">
        <v>2024</v>
      </c>
      <c r="D294" s="16" t="s">
        <v>39</v>
      </c>
      <c r="E294" s="16" t="s">
        <v>32</v>
      </c>
      <c r="F294" s="16" t="s">
        <v>37</v>
      </c>
      <c r="G294" s="16">
        <v>18</v>
      </c>
      <c r="H294" s="16">
        <v>3227</v>
      </c>
      <c r="I294" s="16">
        <v>619.20000000000005</v>
      </c>
      <c r="J294" s="19">
        <v>0.73599999999999999</v>
      </c>
      <c r="K294" s="16">
        <v>77.8</v>
      </c>
      <c r="L294" s="19">
        <v>0.86199999999999999</v>
      </c>
      <c r="M294" s="19">
        <v>3.7999999999999999E-2</v>
      </c>
      <c r="N294" s="21">
        <v>26922.63</v>
      </c>
      <c r="O294" s="21">
        <v>18527.599999999999</v>
      </c>
      <c r="P294" s="26">
        <v>8395.0300000000007</v>
      </c>
    </row>
    <row r="295" spans="1:16" x14ac:dyDescent="0.3">
      <c r="A295" s="25">
        <v>294</v>
      </c>
      <c r="B295" s="16" t="s">
        <v>45</v>
      </c>
      <c r="C295" s="16">
        <v>2024</v>
      </c>
      <c r="D295" s="16" t="s">
        <v>39</v>
      </c>
      <c r="E295" s="16" t="s">
        <v>27</v>
      </c>
      <c r="F295" s="16" t="s">
        <v>37</v>
      </c>
      <c r="G295" s="16">
        <v>36</v>
      </c>
      <c r="H295" s="16">
        <v>6699</v>
      </c>
      <c r="I295" s="16">
        <v>685.4</v>
      </c>
      <c r="J295" s="19">
        <v>0.64700000000000002</v>
      </c>
      <c r="K295" s="16">
        <v>69.099999999999994</v>
      </c>
      <c r="L295" s="19">
        <v>0.94099999999999995</v>
      </c>
      <c r="M295" s="19">
        <v>2.4E-2</v>
      </c>
      <c r="N295" s="21">
        <v>43602.63</v>
      </c>
      <c r="O295" s="21">
        <v>27391.48</v>
      </c>
      <c r="P295" s="26">
        <v>16211.15</v>
      </c>
    </row>
    <row r="296" spans="1:16" x14ac:dyDescent="0.3">
      <c r="A296" s="25">
        <v>295</v>
      </c>
      <c r="B296" s="16" t="s">
        <v>45</v>
      </c>
      <c r="C296" s="16">
        <v>2024</v>
      </c>
      <c r="D296" s="16" t="s">
        <v>40</v>
      </c>
      <c r="E296" s="16" t="s">
        <v>30</v>
      </c>
      <c r="F296" s="16" t="s">
        <v>28</v>
      </c>
      <c r="G296" s="16">
        <v>54</v>
      </c>
      <c r="H296" s="16">
        <v>10117</v>
      </c>
      <c r="I296" s="16">
        <v>413.1</v>
      </c>
      <c r="J296" s="19">
        <v>0.77</v>
      </c>
      <c r="K296" s="16">
        <v>79</v>
      </c>
      <c r="L296" s="19">
        <v>1</v>
      </c>
      <c r="M296" s="19">
        <v>1.2E-2</v>
      </c>
      <c r="N296" s="21">
        <v>69503.23</v>
      </c>
      <c r="O296" s="21">
        <v>43722.32</v>
      </c>
      <c r="P296" s="26">
        <v>25780.91</v>
      </c>
    </row>
    <row r="297" spans="1:16" x14ac:dyDescent="0.3">
      <c r="A297" s="25">
        <v>296</v>
      </c>
      <c r="B297" s="16" t="s">
        <v>45</v>
      </c>
      <c r="C297" s="16">
        <v>2024</v>
      </c>
      <c r="D297" s="16" t="s">
        <v>40</v>
      </c>
      <c r="E297" s="16" t="s">
        <v>35</v>
      </c>
      <c r="F297" s="16" t="s">
        <v>28</v>
      </c>
      <c r="G297" s="16">
        <v>52</v>
      </c>
      <c r="H297" s="16">
        <v>7671</v>
      </c>
      <c r="I297" s="16">
        <v>440.9</v>
      </c>
      <c r="J297" s="19">
        <v>0.76</v>
      </c>
      <c r="K297" s="16">
        <v>81.400000000000006</v>
      </c>
      <c r="L297" s="19">
        <v>0.872</v>
      </c>
      <c r="M297" s="19">
        <v>3.1E-2</v>
      </c>
      <c r="N297" s="21">
        <v>60568.39</v>
      </c>
      <c r="O297" s="21">
        <v>39883.379999999997</v>
      </c>
      <c r="P297" s="26">
        <v>20685.009999999998</v>
      </c>
    </row>
    <row r="298" spans="1:16" x14ac:dyDescent="0.3">
      <c r="A298" s="25">
        <v>297</v>
      </c>
      <c r="B298" s="16" t="s">
        <v>45</v>
      </c>
      <c r="C298" s="16">
        <v>2024</v>
      </c>
      <c r="D298" s="16" t="s">
        <v>40</v>
      </c>
      <c r="E298" s="16" t="s">
        <v>32</v>
      </c>
      <c r="F298" s="16" t="s">
        <v>29</v>
      </c>
      <c r="G298" s="16">
        <v>52</v>
      </c>
      <c r="H298" s="16">
        <v>10031</v>
      </c>
      <c r="I298" s="16">
        <v>285</v>
      </c>
      <c r="J298" s="19">
        <v>0.72099999999999997</v>
      </c>
      <c r="K298" s="16">
        <v>82.4</v>
      </c>
      <c r="L298" s="19">
        <v>0.98399999999999999</v>
      </c>
      <c r="M298" s="19">
        <v>1.7999999999999999E-2</v>
      </c>
      <c r="N298" s="21">
        <v>61139.83</v>
      </c>
      <c r="O298" s="21">
        <v>40554.230000000003</v>
      </c>
      <c r="P298" s="26">
        <v>20585.599999999999</v>
      </c>
    </row>
    <row r="299" spans="1:16" x14ac:dyDescent="0.3">
      <c r="A299" s="25">
        <v>298</v>
      </c>
      <c r="B299" s="16" t="s">
        <v>45</v>
      </c>
      <c r="C299" s="16">
        <v>2024</v>
      </c>
      <c r="D299" s="16" t="s">
        <v>40</v>
      </c>
      <c r="E299" s="16" t="s">
        <v>30</v>
      </c>
      <c r="F299" s="16" t="s">
        <v>29</v>
      </c>
      <c r="G299" s="16">
        <v>58</v>
      </c>
      <c r="H299" s="16">
        <v>12257</v>
      </c>
      <c r="I299" s="16">
        <v>283.60000000000002</v>
      </c>
      <c r="J299" s="19">
        <v>0.69299999999999995</v>
      </c>
      <c r="K299" s="16">
        <v>91.4</v>
      </c>
      <c r="L299" s="19">
        <v>0.80800000000000005</v>
      </c>
      <c r="M299" s="19">
        <v>1.9E-2</v>
      </c>
      <c r="N299" s="21">
        <v>58403.3</v>
      </c>
      <c r="O299" s="21">
        <v>39296.400000000001</v>
      </c>
      <c r="P299" s="26">
        <v>19106.900000000001</v>
      </c>
    </row>
    <row r="300" spans="1:16" x14ac:dyDescent="0.3">
      <c r="A300" s="25">
        <v>299</v>
      </c>
      <c r="B300" s="16" t="s">
        <v>45</v>
      </c>
      <c r="C300" s="16">
        <v>2024</v>
      </c>
      <c r="D300" s="16" t="s">
        <v>40</v>
      </c>
      <c r="E300" s="16" t="s">
        <v>34</v>
      </c>
      <c r="F300" s="16" t="s">
        <v>29</v>
      </c>
      <c r="G300" s="16">
        <v>39</v>
      </c>
      <c r="H300" s="16">
        <v>7074</v>
      </c>
      <c r="I300" s="16">
        <v>307.39999999999998</v>
      </c>
      <c r="J300" s="19">
        <v>0.67600000000000005</v>
      </c>
      <c r="K300" s="16">
        <v>81.099999999999994</v>
      </c>
      <c r="L300" s="19">
        <v>0.84299999999999997</v>
      </c>
      <c r="M300" s="19">
        <v>3.7999999999999999E-2</v>
      </c>
      <c r="N300" s="21">
        <v>47103.38</v>
      </c>
      <c r="O300" s="21">
        <v>34972.29</v>
      </c>
      <c r="P300" s="26">
        <v>12131.09</v>
      </c>
    </row>
    <row r="301" spans="1:16" x14ac:dyDescent="0.3">
      <c r="A301" s="25">
        <v>300</v>
      </c>
      <c r="B301" s="16" t="s">
        <v>45</v>
      </c>
      <c r="C301" s="16">
        <v>2024</v>
      </c>
      <c r="D301" s="16" t="s">
        <v>40</v>
      </c>
      <c r="E301" s="16" t="s">
        <v>35</v>
      </c>
      <c r="F301" s="16" t="s">
        <v>29</v>
      </c>
      <c r="G301" s="16">
        <v>38</v>
      </c>
      <c r="H301" s="16">
        <v>7266</v>
      </c>
      <c r="I301" s="16">
        <v>336.1</v>
      </c>
      <c r="J301" s="19">
        <v>0.751</v>
      </c>
      <c r="K301" s="16">
        <v>88.1</v>
      </c>
      <c r="L301" s="19">
        <v>0.79700000000000004</v>
      </c>
      <c r="M301" s="19">
        <v>3.4000000000000002E-2</v>
      </c>
      <c r="N301" s="21">
        <v>68072.149999999994</v>
      </c>
      <c r="O301" s="21">
        <v>45209.96</v>
      </c>
      <c r="P301" s="26">
        <v>22862.19</v>
      </c>
    </row>
    <row r="302" spans="1:16" x14ac:dyDescent="0.3">
      <c r="A302" s="25">
        <v>301</v>
      </c>
      <c r="B302" s="16" t="s">
        <v>45</v>
      </c>
      <c r="C302" s="16">
        <v>2024</v>
      </c>
      <c r="D302" s="16" t="s">
        <v>40</v>
      </c>
      <c r="E302" s="16" t="s">
        <v>32</v>
      </c>
      <c r="F302" s="16" t="s">
        <v>33</v>
      </c>
      <c r="G302" s="16">
        <v>55</v>
      </c>
      <c r="H302" s="16">
        <v>8233</v>
      </c>
      <c r="I302" s="16">
        <v>504.7</v>
      </c>
      <c r="J302" s="19">
        <v>0.66100000000000003</v>
      </c>
      <c r="K302" s="16">
        <v>81</v>
      </c>
      <c r="L302" s="19">
        <v>0.96399999999999997</v>
      </c>
      <c r="M302" s="19">
        <v>3.2000000000000001E-2</v>
      </c>
      <c r="N302" s="21">
        <v>75295.460000000006</v>
      </c>
      <c r="O302" s="21">
        <v>47225.27</v>
      </c>
      <c r="P302" s="26">
        <v>28070.19</v>
      </c>
    </row>
    <row r="303" spans="1:16" x14ac:dyDescent="0.3">
      <c r="A303" s="25">
        <v>302</v>
      </c>
      <c r="B303" s="16" t="s">
        <v>45</v>
      </c>
      <c r="C303" s="16">
        <v>2024</v>
      </c>
      <c r="D303" s="16" t="s">
        <v>40</v>
      </c>
      <c r="E303" s="16" t="s">
        <v>27</v>
      </c>
      <c r="F303" s="16" t="s">
        <v>33</v>
      </c>
      <c r="G303" s="16">
        <v>40</v>
      </c>
      <c r="H303" s="16">
        <v>5061</v>
      </c>
      <c r="I303" s="16">
        <v>471.6</v>
      </c>
      <c r="J303" s="19">
        <v>0.77200000000000002</v>
      </c>
      <c r="K303" s="16">
        <v>83.4</v>
      </c>
      <c r="L303" s="19">
        <v>0.88900000000000001</v>
      </c>
      <c r="M303" s="19">
        <v>2.5000000000000001E-2</v>
      </c>
      <c r="N303" s="21">
        <v>55922.97</v>
      </c>
      <c r="O303" s="21">
        <v>34921.449999999997</v>
      </c>
      <c r="P303" s="26">
        <v>21001.52</v>
      </c>
    </row>
    <row r="304" spans="1:16" x14ac:dyDescent="0.3">
      <c r="A304" s="25">
        <v>303</v>
      </c>
      <c r="B304" s="16" t="s">
        <v>45</v>
      </c>
      <c r="C304" s="16">
        <v>2024</v>
      </c>
      <c r="D304" s="16" t="s">
        <v>40</v>
      </c>
      <c r="E304" s="16" t="s">
        <v>30</v>
      </c>
      <c r="F304" s="16" t="s">
        <v>33</v>
      </c>
      <c r="G304" s="16">
        <v>66</v>
      </c>
      <c r="H304" s="16">
        <v>8221</v>
      </c>
      <c r="I304" s="16">
        <v>458.2</v>
      </c>
      <c r="J304" s="19">
        <v>0.68799999999999994</v>
      </c>
      <c r="K304" s="16">
        <v>86.1</v>
      </c>
      <c r="L304" s="19">
        <v>0.997</v>
      </c>
      <c r="M304" s="19">
        <v>2.5999999999999999E-2</v>
      </c>
      <c r="N304" s="21">
        <v>112583.96</v>
      </c>
      <c r="O304" s="21">
        <v>78813.789999999994</v>
      </c>
      <c r="P304" s="26">
        <v>33770.17</v>
      </c>
    </row>
    <row r="305" spans="1:16" x14ac:dyDescent="0.3">
      <c r="A305" s="25">
        <v>304</v>
      </c>
      <c r="B305" s="16" t="s">
        <v>45</v>
      </c>
      <c r="C305" s="16">
        <v>2024</v>
      </c>
      <c r="D305" s="16" t="s">
        <v>40</v>
      </c>
      <c r="E305" s="16" t="s">
        <v>35</v>
      </c>
      <c r="F305" s="16" t="s">
        <v>33</v>
      </c>
      <c r="G305" s="16">
        <v>54</v>
      </c>
      <c r="H305" s="16">
        <v>9009</v>
      </c>
      <c r="I305" s="16">
        <v>437.3</v>
      </c>
      <c r="J305" s="19">
        <v>0.72299999999999998</v>
      </c>
      <c r="K305" s="16">
        <v>80</v>
      </c>
      <c r="L305" s="19">
        <v>1</v>
      </c>
      <c r="M305" s="19">
        <v>3.5000000000000003E-2</v>
      </c>
      <c r="N305" s="21">
        <v>77882.8</v>
      </c>
      <c r="O305" s="21">
        <v>59505.75</v>
      </c>
      <c r="P305" s="26">
        <v>18377.05</v>
      </c>
    </row>
    <row r="306" spans="1:16" x14ac:dyDescent="0.3">
      <c r="A306" s="25">
        <v>305</v>
      </c>
      <c r="B306" s="16" t="s">
        <v>45</v>
      </c>
      <c r="C306" s="16">
        <v>2024</v>
      </c>
      <c r="D306" s="16" t="s">
        <v>40</v>
      </c>
      <c r="E306" s="16" t="s">
        <v>32</v>
      </c>
      <c r="F306" s="16" t="s">
        <v>36</v>
      </c>
      <c r="G306" s="16">
        <v>62</v>
      </c>
      <c r="H306" s="16">
        <v>12211</v>
      </c>
      <c r="I306" s="16">
        <v>895.4</v>
      </c>
      <c r="J306" s="19">
        <v>0.71499999999999997</v>
      </c>
      <c r="K306" s="16">
        <v>87.3</v>
      </c>
      <c r="L306" s="19">
        <v>0.97299999999999998</v>
      </c>
      <c r="M306" s="19">
        <v>1.4E-2</v>
      </c>
      <c r="N306" s="21">
        <v>106158.94</v>
      </c>
      <c r="O306" s="21">
        <v>66094.44</v>
      </c>
      <c r="P306" s="26">
        <v>40064.5</v>
      </c>
    </row>
    <row r="307" spans="1:16" x14ac:dyDescent="0.3">
      <c r="A307" s="25">
        <v>306</v>
      </c>
      <c r="B307" s="16" t="s">
        <v>45</v>
      </c>
      <c r="C307" s="16">
        <v>2024</v>
      </c>
      <c r="D307" s="16" t="s">
        <v>40</v>
      </c>
      <c r="E307" s="16" t="s">
        <v>27</v>
      </c>
      <c r="F307" s="16" t="s">
        <v>36</v>
      </c>
      <c r="G307" s="16">
        <v>62</v>
      </c>
      <c r="H307" s="16">
        <v>9003</v>
      </c>
      <c r="I307" s="16">
        <v>821.2</v>
      </c>
      <c r="J307" s="19">
        <v>0.74299999999999999</v>
      </c>
      <c r="K307" s="16">
        <v>80.2</v>
      </c>
      <c r="L307" s="19">
        <v>0.99199999999999999</v>
      </c>
      <c r="M307" s="19">
        <v>2.8000000000000001E-2</v>
      </c>
      <c r="N307" s="21">
        <v>80265.929999999993</v>
      </c>
      <c r="O307" s="21">
        <v>59779.76</v>
      </c>
      <c r="P307" s="26">
        <v>20486.169999999998</v>
      </c>
    </row>
    <row r="308" spans="1:16" x14ac:dyDescent="0.3">
      <c r="A308" s="25">
        <v>307</v>
      </c>
      <c r="B308" s="16" t="s">
        <v>45</v>
      </c>
      <c r="C308" s="16">
        <v>2024</v>
      </c>
      <c r="D308" s="16" t="s">
        <v>40</v>
      </c>
      <c r="E308" s="16" t="s">
        <v>31</v>
      </c>
      <c r="F308" s="16" t="s">
        <v>36</v>
      </c>
      <c r="G308" s="16">
        <v>25</v>
      </c>
      <c r="H308" s="16">
        <v>3892</v>
      </c>
      <c r="I308" s="16">
        <v>901</v>
      </c>
      <c r="J308" s="19">
        <v>0.68200000000000005</v>
      </c>
      <c r="K308" s="16">
        <v>87</v>
      </c>
      <c r="L308" s="19">
        <v>0.90600000000000003</v>
      </c>
      <c r="M308" s="19">
        <v>5.2999999999999999E-2</v>
      </c>
      <c r="N308" s="21">
        <v>29641.87</v>
      </c>
      <c r="O308" s="21">
        <v>20180.09</v>
      </c>
      <c r="P308" s="26">
        <v>9461.7800000000007</v>
      </c>
    </row>
    <row r="309" spans="1:16" x14ac:dyDescent="0.3">
      <c r="A309" s="25">
        <v>308</v>
      </c>
      <c r="B309" s="16" t="s">
        <v>45</v>
      </c>
      <c r="C309" s="16">
        <v>2024</v>
      </c>
      <c r="D309" s="16" t="s">
        <v>40</v>
      </c>
      <c r="E309" s="16" t="s">
        <v>35</v>
      </c>
      <c r="F309" s="16" t="s">
        <v>36</v>
      </c>
      <c r="G309" s="16">
        <v>24</v>
      </c>
      <c r="H309" s="16">
        <v>3820</v>
      </c>
      <c r="I309" s="16">
        <v>888.7</v>
      </c>
      <c r="J309" s="19">
        <v>0.66300000000000003</v>
      </c>
      <c r="K309" s="16">
        <v>83.8</v>
      </c>
      <c r="L309" s="19">
        <v>0.96399999999999997</v>
      </c>
      <c r="M309" s="19">
        <v>2.8000000000000001E-2</v>
      </c>
      <c r="N309" s="21">
        <v>31911.99</v>
      </c>
      <c r="O309" s="21">
        <v>24868.73</v>
      </c>
      <c r="P309" s="26">
        <v>7043.26</v>
      </c>
    </row>
    <row r="310" spans="1:16" x14ac:dyDescent="0.3">
      <c r="A310" s="25">
        <v>309</v>
      </c>
      <c r="B310" s="16" t="s">
        <v>45</v>
      </c>
      <c r="C310" s="16">
        <v>2024</v>
      </c>
      <c r="D310" s="16" t="s">
        <v>40</v>
      </c>
      <c r="E310" s="16" t="s">
        <v>32</v>
      </c>
      <c r="F310" s="16" t="s">
        <v>37</v>
      </c>
      <c r="G310" s="16">
        <v>36</v>
      </c>
      <c r="H310" s="16">
        <v>6977</v>
      </c>
      <c r="I310" s="16">
        <v>627.29999999999995</v>
      </c>
      <c r="J310" s="19">
        <v>0.58199999999999996</v>
      </c>
      <c r="K310" s="16">
        <v>87</v>
      </c>
      <c r="L310" s="19">
        <v>0.85199999999999998</v>
      </c>
      <c r="M310" s="19">
        <v>3.5999999999999997E-2</v>
      </c>
      <c r="N310" s="21">
        <v>40954.74</v>
      </c>
      <c r="O310" s="21">
        <v>29535.88</v>
      </c>
      <c r="P310" s="26">
        <v>11418.86</v>
      </c>
    </row>
    <row r="311" spans="1:16" x14ac:dyDescent="0.3">
      <c r="A311" s="25">
        <v>310</v>
      </c>
      <c r="B311" s="16" t="s">
        <v>45</v>
      </c>
      <c r="C311" s="16">
        <v>2024</v>
      </c>
      <c r="D311" s="16" t="s">
        <v>40</v>
      </c>
      <c r="E311" s="16" t="s">
        <v>30</v>
      </c>
      <c r="F311" s="16" t="s">
        <v>37</v>
      </c>
      <c r="G311" s="16">
        <v>61</v>
      </c>
      <c r="H311" s="16">
        <v>11883</v>
      </c>
      <c r="I311" s="16">
        <v>681.3</v>
      </c>
      <c r="J311" s="19">
        <v>0.70199999999999996</v>
      </c>
      <c r="K311" s="16">
        <v>89.8</v>
      </c>
      <c r="L311" s="19">
        <v>0.82899999999999996</v>
      </c>
      <c r="M311" s="19">
        <v>2.5000000000000001E-2</v>
      </c>
      <c r="N311" s="21">
        <v>88453.82</v>
      </c>
      <c r="O311" s="21">
        <v>55204.94</v>
      </c>
      <c r="P311" s="26">
        <v>33248.879999999997</v>
      </c>
    </row>
    <row r="312" spans="1:16" x14ac:dyDescent="0.3">
      <c r="A312" s="25">
        <v>311</v>
      </c>
      <c r="B312" s="16" t="s">
        <v>45</v>
      </c>
      <c r="C312" s="16">
        <v>2024</v>
      </c>
      <c r="D312" s="16" t="s">
        <v>40</v>
      </c>
      <c r="E312" s="16" t="s">
        <v>35</v>
      </c>
      <c r="F312" s="16" t="s">
        <v>37</v>
      </c>
      <c r="G312" s="16">
        <v>39</v>
      </c>
      <c r="H312" s="16">
        <v>7057</v>
      </c>
      <c r="I312" s="16">
        <v>657.8</v>
      </c>
      <c r="J312" s="19">
        <v>0.621</v>
      </c>
      <c r="K312" s="16">
        <v>86.6</v>
      </c>
      <c r="L312" s="19">
        <v>0.91200000000000003</v>
      </c>
      <c r="M312" s="19">
        <v>4.8000000000000001E-2</v>
      </c>
      <c r="N312" s="21">
        <v>42956.38</v>
      </c>
      <c r="O312" s="21">
        <v>30374.25</v>
      </c>
      <c r="P312" s="26">
        <v>12582.13</v>
      </c>
    </row>
    <row r="313" spans="1:16" x14ac:dyDescent="0.3">
      <c r="A313" s="25">
        <v>312</v>
      </c>
      <c r="B313" s="16" t="s">
        <v>45</v>
      </c>
      <c r="C313" s="16">
        <v>2024</v>
      </c>
      <c r="D313" s="16" t="s">
        <v>41</v>
      </c>
      <c r="E313" s="16" t="s">
        <v>27</v>
      </c>
      <c r="F313" s="16" t="s">
        <v>28</v>
      </c>
      <c r="G313" s="16">
        <v>74</v>
      </c>
      <c r="H313" s="16">
        <v>12697</v>
      </c>
      <c r="I313" s="16">
        <v>386.5</v>
      </c>
      <c r="J313" s="19">
        <v>0.71499999999999997</v>
      </c>
      <c r="K313" s="16">
        <v>90.2</v>
      </c>
      <c r="L313" s="19">
        <v>0.92100000000000004</v>
      </c>
      <c r="M313" s="19">
        <v>2.1999999999999999E-2</v>
      </c>
      <c r="N313" s="21">
        <v>155420.82</v>
      </c>
      <c r="O313" s="21">
        <v>114519.57</v>
      </c>
      <c r="P313" s="26">
        <v>40901.25</v>
      </c>
    </row>
    <row r="314" spans="1:16" x14ac:dyDescent="0.3">
      <c r="A314" s="25">
        <v>313</v>
      </c>
      <c r="B314" s="16" t="s">
        <v>45</v>
      </c>
      <c r="C314" s="16">
        <v>2024</v>
      </c>
      <c r="D314" s="16" t="s">
        <v>41</v>
      </c>
      <c r="E314" s="16" t="s">
        <v>34</v>
      </c>
      <c r="F314" s="16" t="s">
        <v>28</v>
      </c>
      <c r="G314" s="16">
        <v>24</v>
      </c>
      <c r="H314" s="16">
        <v>4051</v>
      </c>
      <c r="I314" s="16">
        <v>440.1</v>
      </c>
      <c r="J314" s="19">
        <v>0.88800000000000001</v>
      </c>
      <c r="K314" s="16">
        <v>89.5</v>
      </c>
      <c r="L314" s="19">
        <v>0.83799999999999997</v>
      </c>
      <c r="M314" s="19">
        <v>1.7999999999999999E-2</v>
      </c>
      <c r="N314" s="21">
        <v>58587.1</v>
      </c>
      <c r="O314" s="21">
        <v>42657.62</v>
      </c>
      <c r="P314" s="26">
        <v>15929.48</v>
      </c>
    </row>
    <row r="315" spans="1:16" x14ac:dyDescent="0.3">
      <c r="A315" s="25">
        <v>314</v>
      </c>
      <c r="B315" s="16" t="s">
        <v>45</v>
      </c>
      <c r="C315" s="16">
        <v>2024</v>
      </c>
      <c r="D315" s="16" t="s">
        <v>41</v>
      </c>
      <c r="E315" s="16" t="s">
        <v>35</v>
      </c>
      <c r="F315" s="16" t="s">
        <v>28</v>
      </c>
      <c r="G315" s="16">
        <v>11</v>
      </c>
      <c r="H315" s="16">
        <v>1613</v>
      </c>
      <c r="I315" s="16">
        <v>428.7</v>
      </c>
      <c r="J315" s="19">
        <v>0.72099999999999997</v>
      </c>
      <c r="K315" s="16">
        <v>85.6</v>
      </c>
      <c r="L315" s="19">
        <v>0.88900000000000001</v>
      </c>
      <c r="M315" s="19">
        <v>2.3E-2</v>
      </c>
      <c r="N315" s="21">
        <v>18438.95</v>
      </c>
      <c r="O315" s="21">
        <v>12924.76</v>
      </c>
      <c r="P315" s="26">
        <v>5514.19</v>
      </c>
    </row>
    <row r="316" spans="1:16" x14ac:dyDescent="0.3">
      <c r="A316" s="25">
        <v>315</v>
      </c>
      <c r="B316" s="16" t="s">
        <v>45</v>
      </c>
      <c r="C316" s="16">
        <v>2024</v>
      </c>
      <c r="D316" s="16" t="s">
        <v>41</v>
      </c>
      <c r="E316" s="16" t="s">
        <v>27</v>
      </c>
      <c r="F316" s="16" t="s">
        <v>29</v>
      </c>
      <c r="G316" s="16">
        <v>27</v>
      </c>
      <c r="H316" s="16">
        <v>3664</v>
      </c>
      <c r="I316" s="16">
        <v>228.2</v>
      </c>
      <c r="J316" s="19">
        <v>0.56899999999999995</v>
      </c>
      <c r="K316" s="16">
        <v>79.5</v>
      </c>
      <c r="L316" s="19">
        <v>0.86799999999999999</v>
      </c>
      <c r="M316" s="19">
        <v>0.04</v>
      </c>
      <c r="N316" s="21">
        <v>42279.9</v>
      </c>
      <c r="O316" s="21">
        <v>31718.2</v>
      </c>
      <c r="P316" s="26">
        <v>10561.7</v>
      </c>
    </row>
    <row r="317" spans="1:16" x14ac:dyDescent="0.3">
      <c r="A317" s="25">
        <v>316</v>
      </c>
      <c r="B317" s="16" t="s">
        <v>45</v>
      </c>
      <c r="C317" s="16">
        <v>2024</v>
      </c>
      <c r="D317" s="16" t="s">
        <v>41</v>
      </c>
      <c r="E317" s="16" t="s">
        <v>30</v>
      </c>
      <c r="F317" s="16" t="s">
        <v>29</v>
      </c>
      <c r="G317" s="16">
        <v>51</v>
      </c>
      <c r="H317" s="16">
        <v>8915</v>
      </c>
      <c r="I317" s="16">
        <v>296.89999999999998</v>
      </c>
      <c r="J317" s="19">
        <v>0.57799999999999996</v>
      </c>
      <c r="K317" s="16">
        <v>90.3</v>
      </c>
      <c r="L317" s="19">
        <v>0.79900000000000004</v>
      </c>
      <c r="M317" s="19">
        <v>3.7999999999999999E-2</v>
      </c>
      <c r="N317" s="21">
        <v>67826.14</v>
      </c>
      <c r="O317" s="21">
        <v>43428.52</v>
      </c>
      <c r="P317" s="26">
        <v>24397.62</v>
      </c>
    </row>
    <row r="318" spans="1:16" x14ac:dyDescent="0.3">
      <c r="A318" s="25">
        <v>317</v>
      </c>
      <c r="B318" s="16" t="s">
        <v>45</v>
      </c>
      <c r="C318" s="16">
        <v>2024</v>
      </c>
      <c r="D318" s="16" t="s">
        <v>41</v>
      </c>
      <c r="E318" s="16" t="s">
        <v>35</v>
      </c>
      <c r="F318" s="16" t="s">
        <v>29</v>
      </c>
      <c r="G318" s="16">
        <v>77</v>
      </c>
      <c r="H318" s="16">
        <v>15214</v>
      </c>
      <c r="I318" s="16">
        <v>308.5</v>
      </c>
      <c r="J318" s="19">
        <v>0.71199999999999997</v>
      </c>
      <c r="K318" s="16">
        <v>88.5</v>
      </c>
      <c r="L318" s="19">
        <v>0.85099999999999998</v>
      </c>
      <c r="M318" s="19">
        <v>1.4E-2</v>
      </c>
      <c r="N318" s="21">
        <v>138555.49</v>
      </c>
      <c r="O318" s="21">
        <v>98448.68</v>
      </c>
      <c r="P318" s="26">
        <v>40106.81</v>
      </c>
    </row>
    <row r="319" spans="1:16" x14ac:dyDescent="0.3">
      <c r="A319" s="25">
        <v>318</v>
      </c>
      <c r="B319" s="16" t="s">
        <v>45</v>
      </c>
      <c r="C319" s="16">
        <v>2024</v>
      </c>
      <c r="D319" s="16" t="s">
        <v>41</v>
      </c>
      <c r="E319" s="16" t="s">
        <v>32</v>
      </c>
      <c r="F319" s="16" t="s">
        <v>33</v>
      </c>
      <c r="G319" s="16">
        <v>21</v>
      </c>
      <c r="H319" s="16">
        <v>3249</v>
      </c>
      <c r="I319" s="16">
        <v>477</v>
      </c>
      <c r="J319" s="19">
        <v>0.73499999999999999</v>
      </c>
      <c r="K319" s="16">
        <v>97.9</v>
      </c>
      <c r="L319" s="19">
        <v>0.93</v>
      </c>
      <c r="M319" s="19">
        <v>6.0000000000000001E-3</v>
      </c>
      <c r="N319" s="21">
        <v>46041.87</v>
      </c>
      <c r="O319" s="21">
        <v>34648.82</v>
      </c>
      <c r="P319" s="26">
        <v>11393.05</v>
      </c>
    </row>
    <row r="320" spans="1:16" x14ac:dyDescent="0.3">
      <c r="A320" s="25">
        <v>319</v>
      </c>
      <c r="B320" s="16" t="s">
        <v>45</v>
      </c>
      <c r="C320" s="16">
        <v>2024</v>
      </c>
      <c r="D320" s="16" t="s">
        <v>41</v>
      </c>
      <c r="E320" s="16" t="s">
        <v>34</v>
      </c>
      <c r="F320" s="16" t="s">
        <v>33</v>
      </c>
      <c r="G320" s="16">
        <v>52</v>
      </c>
      <c r="H320" s="16">
        <v>9580</v>
      </c>
      <c r="I320" s="16">
        <v>487.8</v>
      </c>
      <c r="J320" s="19">
        <v>0.73399999999999999</v>
      </c>
      <c r="K320" s="16">
        <v>90.2</v>
      </c>
      <c r="L320" s="19">
        <v>0.94099999999999995</v>
      </c>
      <c r="M320" s="19">
        <v>0</v>
      </c>
      <c r="N320" s="21">
        <v>96266.37</v>
      </c>
      <c r="O320" s="21">
        <v>70039.570000000007</v>
      </c>
      <c r="P320" s="26">
        <v>26226.799999999999</v>
      </c>
    </row>
    <row r="321" spans="1:16" x14ac:dyDescent="0.3">
      <c r="A321" s="25">
        <v>320</v>
      </c>
      <c r="B321" s="16" t="s">
        <v>45</v>
      </c>
      <c r="C321" s="16">
        <v>2024</v>
      </c>
      <c r="D321" s="16" t="s">
        <v>41</v>
      </c>
      <c r="E321" s="16" t="s">
        <v>35</v>
      </c>
      <c r="F321" s="16" t="s">
        <v>33</v>
      </c>
      <c r="G321" s="16">
        <v>36</v>
      </c>
      <c r="H321" s="16">
        <v>6845</v>
      </c>
      <c r="I321" s="16">
        <v>473</v>
      </c>
      <c r="J321" s="19">
        <v>0.67600000000000005</v>
      </c>
      <c r="K321" s="16">
        <v>81.7</v>
      </c>
      <c r="L321" s="19">
        <v>0.90800000000000003</v>
      </c>
      <c r="M321" s="19">
        <v>3.5000000000000003E-2</v>
      </c>
      <c r="N321" s="21">
        <v>56856.46</v>
      </c>
      <c r="O321" s="21">
        <v>43460.2</v>
      </c>
      <c r="P321" s="26">
        <v>13396.26</v>
      </c>
    </row>
    <row r="322" spans="1:16" x14ac:dyDescent="0.3">
      <c r="A322" s="25">
        <v>321</v>
      </c>
      <c r="B322" s="16" t="s">
        <v>45</v>
      </c>
      <c r="C322" s="16">
        <v>2024</v>
      </c>
      <c r="D322" s="16" t="s">
        <v>41</v>
      </c>
      <c r="E322" s="16" t="s">
        <v>31</v>
      </c>
      <c r="F322" s="16" t="s">
        <v>36</v>
      </c>
      <c r="G322" s="16">
        <v>49</v>
      </c>
      <c r="H322" s="16">
        <v>9700</v>
      </c>
      <c r="I322" s="16">
        <v>945.7</v>
      </c>
      <c r="J322" s="19">
        <v>0.66600000000000004</v>
      </c>
      <c r="K322" s="16">
        <v>93.3</v>
      </c>
      <c r="L322" s="19">
        <v>0.97399999999999998</v>
      </c>
      <c r="M322" s="19">
        <v>2.1999999999999999E-2</v>
      </c>
      <c r="N322" s="21">
        <v>89865.95</v>
      </c>
      <c r="O322" s="21">
        <v>64323.360000000001</v>
      </c>
      <c r="P322" s="26">
        <v>25542.59</v>
      </c>
    </row>
    <row r="323" spans="1:16" x14ac:dyDescent="0.3">
      <c r="A323" s="25">
        <v>322</v>
      </c>
      <c r="B323" s="16" t="s">
        <v>45</v>
      </c>
      <c r="C323" s="16">
        <v>2024</v>
      </c>
      <c r="D323" s="16" t="s">
        <v>41</v>
      </c>
      <c r="E323" s="16" t="s">
        <v>32</v>
      </c>
      <c r="F323" s="16" t="s">
        <v>37</v>
      </c>
      <c r="G323" s="16">
        <v>79</v>
      </c>
      <c r="H323" s="16">
        <v>15098</v>
      </c>
      <c r="I323" s="16">
        <v>682.9</v>
      </c>
      <c r="J323" s="19">
        <v>0.60299999999999998</v>
      </c>
      <c r="K323" s="16">
        <v>77.599999999999994</v>
      </c>
      <c r="L323" s="19">
        <v>0.90900000000000003</v>
      </c>
      <c r="M323" s="19">
        <v>2.3E-2</v>
      </c>
      <c r="N323" s="21">
        <v>115092.53</v>
      </c>
      <c r="O323" s="21">
        <v>85420.61</v>
      </c>
      <c r="P323" s="26">
        <v>29671.919999999998</v>
      </c>
    </row>
    <row r="324" spans="1:16" x14ac:dyDescent="0.3">
      <c r="A324" s="25">
        <v>323</v>
      </c>
      <c r="B324" s="16" t="s">
        <v>45</v>
      </c>
      <c r="C324" s="16">
        <v>2024</v>
      </c>
      <c r="D324" s="16" t="s">
        <v>41</v>
      </c>
      <c r="E324" s="16" t="s">
        <v>34</v>
      </c>
      <c r="F324" s="16" t="s">
        <v>37</v>
      </c>
      <c r="G324" s="16">
        <v>43</v>
      </c>
      <c r="H324" s="16">
        <v>6651</v>
      </c>
      <c r="I324" s="16">
        <v>644.5</v>
      </c>
      <c r="J324" s="19">
        <v>0.65500000000000003</v>
      </c>
      <c r="K324" s="16">
        <v>81.599999999999994</v>
      </c>
      <c r="L324" s="19">
        <v>0.89200000000000002</v>
      </c>
      <c r="M324" s="19">
        <v>7.0000000000000001E-3</v>
      </c>
      <c r="N324" s="21">
        <v>66762.070000000007</v>
      </c>
      <c r="O324" s="21">
        <v>46858.51</v>
      </c>
      <c r="P324" s="26">
        <v>19903.560000000001</v>
      </c>
    </row>
    <row r="325" spans="1:16" x14ac:dyDescent="0.3">
      <c r="A325" s="25">
        <v>324</v>
      </c>
      <c r="B325" s="16" t="s">
        <v>46</v>
      </c>
      <c r="C325" s="16">
        <v>2024</v>
      </c>
      <c r="D325" s="16" t="s">
        <v>26</v>
      </c>
      <c r="E325" s="16" t="s">
        <v>32</v>
      </c>
      <c r="F325" s="16" t="s">
        <v>28</v>
      </c>
      <c r="G325" s="16">
        <v>45</v>
      </c>
      <c r="H325" s="16">
        <v>6145</v>
      </c>
      <c r="I325" s="16">
        <v>487.8</v>
      </c>
      <c r="J325" s="19">
        <v>0.89400000000000002</v>
      </c>
      <c r="K325" s="16">
        <v>82.8</v>
      </c>
      <c r="L325" s="19">
        <v>0.91100000000000003</v>
      </c>
      <c r="M325" s="19">
        <v>3.7999999999999999E-2</v>
      </c>
      <c r="N325" s="21">
        <v>53155.38</v>
      </c>
      <c r="O325" s="21">
        <v>38446.839999999997</v>
      </c>
      <c r="P325" s="26">
        <v>14708.54</v>
      </c>
    </row>
    <row r="326" spans="1:16" x14ac:dyDescent="0.3">
      <c r="A326" s="25">
        <v>325</v>
      </c>
      <c r="B326" s="16" t="s">
        <v>46</v>
      </c>
      <c r="C326" s="16">
        <v>2024</v>
      </c>
      <c r="D326" s="16" t="s">
        <v>26</v>
      </c>
      <c r="E326" s="16" t="s">
        <v>30</v>
      </c>
      <c r="F326" s="16" t="s">
        <v>28</v>
      </c>
      <c r="G326" s="16">
        <v>37</v>
      </c>
      <c r="H326" s="16">
        <v>6527</v>
      </c>
      <c r="I326" s="16">
        <v>354.5</v>
      </c>
      <c r="J326" s="19">
        <v>0.78700000000000003</v>
      </c>
      <c r="K326" s="16">
        <v>83.6</v>
      </c>
      <c r="L326" s="19">
        <v>0.88</v>
      </c>
      <c r="M326" s="19">
        <v>2.9000000000000001E-2</v>
      </c>
      <c r="N326" s="21">
        <v>41954.2</v>
      </c>
      <c r="O326" s="21">
        <v>29735.34</v>
      </c>
      <c r="P326" s="26">
        <v>12218.86</v>
      </c>
    </row>
    <row r="327" spans="1:16" x14ac:dyDescent="0.3">
      <c r="A327" s="25">
        <v>326</v>
      </c>
      <c r="B327" s="16" t="s">
        <v>46</v>
      </c>
      <c r="C327" s="16">
        <v>2024</v>
      </c>
      <c r="D327" s="16" t="s">
        <v>26</v>
      </c>
      <c r="E327" s="16" t="s">
        <v>35</v>
      </c>
      <c r="F327" s="16" t="s">
        <v>28</v>
      </c>
      <c r="G327" s="16">
        <v>28</v>
      </c>
      <c r="H327" s="16">
        <v>5471</v>
      </c>
      <c r="I327" s="16">
        <v>314.39999999999998</v>
      </c>
      <c r="J327" s="19">
        <v>0.76100000000000001</v>
      </c>
      <c r="K327" s="16">
        <v>82.6</v>
      </c>
      <c r="L327" s="19">
        <v>0.84499999999999997</v>
      </c>
      <c r="M327" s="19">
        <v>3.3000000000000002E-2</v>
      </c>
      <c r="N327" s="21">
        <v>41490.9</v>
      </c>
      <c r="O327" s="21">
        <v>28334.28</v>
      </c>
      <c r="P327" s="26">
        <v>13156.62</v>
      </c>
    </row>
    <row r="328" spans="1:16" x14ac:dyDescent="0.3">
      <c r="A328" s="25">
        <v>327</v>
      </c>
      <c r="B328" s="16" t="s">
        <v>46</v>
      </c>
      <c r="C328" s="16">
        <v>2024</v>
      </c>
      <c r="D328" s="16" t="s">
        <v>26</v>
      </c>
      <c r="E328" s="16" t="s">
        <v>34</v>
      </c>
      <c r="F328" s="16" t="s">
        <v>29</v>
      </c>
      <c r="G328" s="16">
        <v>52</v>
      </c>
      <c r="H328" s="16">
        <v>10332</v>
      </c>
      <c r="I328" s="16">
        <v>332.6</v>
      </c>
      <c r="J328" s="19">
        <v>0.64700000000000002</v>
      </c>
      <c r="K328" s="16">
        <v>78.099999999999994</v>
      </c>
      <c r="L328" s="19">
        <v>0.97099999999999997</v>
      </c>
      <c r="M328" s="19">
        <v>2.4E-2</v>
      </c>
      <c r="N328" s="21">
        <v>54494.75</v>
      </c>
      <c r="O328" s="21">
        <v>42440.639999999999</v>
      </c>
      <c r="P328" s="26">
        <v>12054.11</v>
      </c>
    </row>
    <row r="329" spans="1:16" x14ac:dyDescent="0.3">
      <c r="A329" s="25">
        <v>328</v>
      </c>
      <c r="B329" s="16" t="s">
        <v>46</v>
      </c>
      <c r="C329" s="16">
        <v>2024</v>
      </c>
      <c r="D329" s="16" t="s">
        <v>26</v>
      </c>
      <c r="E329" s="16" t="s">
        <v>35</v>
      </c>
      <c r="F329" s="16" t="s">
        <v>29</v>
      </c>
      <c r="G329" s="16">
        <v>37</v>
      </c>
      <c r="H329" s="16">
        <v>6360</v>
      </c>
      <c r="I329" s="16">
        <v>238.9</v>
      </c>
      <c r="J329" s="19">
        <v>0.54800000000000004</v>
      </c>
      <c r="K329" s="16">
        <v>76</v>
      </c>
      <c r="L329" s="19">
        <v>0.86699999999999999</v>
      </c>
      <c r="M329" s="19">
        <v>3.9E-2</v>
      </c>
      <c r="N329" s="21">
        <v>46236.87</v>
      </c>
      <c r="O329" s="21">
        <v>32945.51</v>
      </c>
      <c r="P329" s="26">
        <v>13291.36</v>
      </c>
    </row>
    <row r="330" spans="1:16" x14ac:dyDescent="0.3">
      <c r="A330" s="25">
        <v>329</v>
      </c>
      <c r="B330" s="16" t="s">
        <v>46</v>
      </c>
      <c r="C330" s="16">
        <v>2024</v>
      </c>
      <c r="D330" s="16" t="s">
        <v>26</v>
      </c>
      <c r="E330" s="16" t="s">
        <v>32</v>
      </c>
      <c r="F330" s="16" t="s">
        <v>33</v>
      </c>
      <c r="G330" s="16">
        <v>50</v>
      </c>
      <c r="H330" s="16">
        <v>8282</v>
      </c>
      <c r="I330" s="16">
        <v>486.4</v>
      </c>
      <c r="J330" s="19">
        <v>0.71799999999999997</v>
      </c>
      <c r="K330" s="16">
        <v>82.7</v>
      </c>
      <c r="L330" s="19">
        <v>0.76700000000000002</v>
      </c>
      <c r="M330" s="19">
        <v>1.7000000000000001E-2</v>
      </c>
      <c r="N330" s="21">
        <v>70863.31</v>
      </c>
      <c r="O330" s="21">
        <v>49826.68</v>
      </c>
      <c r="P330" s="26">
        <v>21036.63</v>
      </c>
    </row>
    <row r="331" spans="1:16" x14ac:dyDescent="0.3">
      <c r="A331" s="25">
        <v>330</v>
      </c>
      <c r="B331" s="16" t="s">
        <v>46</v>
      </c>
      <c r="C331" s="16">
        <v>2024</v>
      </c>
      <c r="D331" s="16" t="s">
        <v>26</v>
      </c>
      <c r="E331" s="16" t="s">
        <v>27</v>
      </c>
      <c r="F331" s="16" t="s">
        <v>33</v>
      </c>
      <c r="G331" s="16">
        <v>50</v>
      </c>
      <c r="H331" s="16">
        <v>7171</v>
      </c>
      <c r="I331" s="16">
        <v>440</v>
      </c>
      <c r="J331" s="19">
        <v>0.72299999999999998</v>
      </c>
      <c r="K331" s="16">
        <v>90.8</v>
      </c>
      <c r="L331" s="19">
        <v>0.74199999999999999</v>
      </c>
      <c r="M331" s="19">
        <v>1.6E-2</v>
      </c>
      <c r="N331" s="21">
        <v>57489.82</v>
      </c>
      <c r="O331" s="21">
        <v>38934.97</v>
      </c>
      <c r="P331" s="26">
        <v>18554.849999999999</v>
      </c>
    </row>
    <row r="332" spans="1:16" x14ac:dyDescent="0.3">
      <c r="A332" s="25">
        <v>331</v>
      </c>
      <c r="B332" s="16" t="s">
        <v>46</v>
      </c>
      <c r="C332" s="16">
        <v>2024</v>
      </c>
      <c r="D332" s="16" t="s">
        <v>26</v>
      </c>
      <c r="E332" s="16" t="s">
        <v>30</v>
      </c>
      <c r="F332" s="16" t="s">
        <v>33</v>
      </c>
      <c r="G332" s="16">
        <v>27</v>
      </c>
      <c r="H332" s="16">
        <v>4462</v>
      </c>
      <c r="I332" s="16">
        <v>582.79999999999995</v>
      </c>
      <c r="J332" s="19">
        <v>0.65900000000000003</v>
      </c>
      <c r="K332" s="16">
        <v>77</v>
      </c>
      <c r="L332" s="19">
        <v>0.97199999999999998</v>
      </c>
      <c r="M332" s="19">
        <v>3.1E-2</v>
      </c>
      <c r="N332" s="21">
        <v>28649.439999999999</v>
      </c>
      <c r="O332" s="21">
        <v>20347.490000000002</v>
      </c>
      <c r="P332" s="26">
        <v>8301.9500000000007</v>
      </c>
    </row>
    <row r="333" spans="1:16" x14ac:dyDescent="0.3">
      <c r="A333" s="25">
        <v>332</v>
      </c>
      <c r="B333" s="16" t="s">
        <v>46</v>
      </c>
      <c r="C333" s="16">
        <v>2024</v>
      </c>
      <c r="D333" s="16" t="s">
        <v>26</v>
      </c>
      <c r="E333" s="16" t="s">
        <v>31</v>
      </c>
      <c r="F333" s="16" t="s">
        <v>33</v>
      </c>
      <c r="G333" s="16">
        <v>65</v>
      </c>
      <c r="H333" s="16">
        <v>10807</v>
      </c>
      <c r="I333" s="16">
        <v>507.5</v>
      </c>
      <c r="J333" s="19">
        <v>0.82799999999999996</v>
      </c>
      <c r="K333" s="16">
        <v>78.400000000000006</v>
      </c>
      <c r="L333" s="19">
        <v>0.86799999999999999</v>
      </c>
      <c r="M333" s="19">
        <v>2.8000000000000001E-2</v>
      </c>
      <c r="N333" s="21">
        <v>69749.08</v>
      </c>
      <c r="O333" s="21">
        <v>49932.52</v>
      </c>
      <c r="P333" s="26">
        <v>19816.560000000001</v>
      </c>
    </row>
    <row r="334" spans="1:16" x14ac:dyDescent="0.3">
      <c r="A334" s="25">
        <v>333</v>
      </c>
      <c r="B334" s="16" t="s">
        <v>46</v>
      </c>
      <c r="C334" s="16">
        <v>2024</v>
      </c>
      <c r="D334" s="16" t="s">
        <v>26</v>
      </c>
      <c r="E334" s="16" t="s">
        <v>31</v>
      </c>
      <c r="F334" s="16" t="s">
        <v>36</v>
      </c>
      <c r="G334" s="16">
        <v>45</v>
      </c>
      <c r="H334" s="16">
        <v>6875</v>
      </c>
      <c r="I334" s="16">
        <v>864.4</v>
      </c>
      <c r="J334" s="19">
        <v>0.69599999999999995</v>
      </c>
      <c r="K334" s="16">
        <v>87.3</v>
      </c>
      <c r="L334" s="19">
        <v>0.93500000000000005</v>
      </c>
      <c r="M334" s="19">
        <v>4.9000000000000002E-2</v>
      </c>
      <c r="N334" s="21">
        <v>35674.19</v>
      </c>
      <c r="O334" s="21">
        <v>27235.53</v>
      </c>
      <c r="P334" s="26">
        <v>8438.66</v>
      </c>
    </row>
    <row r="335" spans="1:16" x14ac:dyDescent="0.3">
      <c r="A335" s="25">
        <v>334</v>
      </c>
      <c r="B335" s="16" t="s">
        <v>46</v>
      </c>
      <c r="C335" s="16">
        <v>2024</v>
      </c>
      <c r="D335" s="16" t="s">
        <v>26</v>
      </c>
      <c r="E335" s="16" t="s">
        <v>27</v>
      </c>
      <c r="F335" s="16" t="s">
        <v>37</v>
      </c>
      <c r="G335" s="16">
        <v>59</v>
      </c>
      <c r="H335" s="16">
        <v>9658</v>
      </c>
      <c r="I335" s="16">
        <v>710.1</v>
      </c>
      <c r="J335" s="19">
        <v>0.70399999999999996</v>
      </c>
      <c r="K335" s="16">
        <v>87.8</v>
      </c>
      <c r="L335" s="19">
        <v>0.90900000000000003</v>
      </c>
      <c r="M335" s="19">
        <v>2.4E-2</v>
      </c>
      <c r="N335" s="21">
        <v>79715.399999999994</v>
      </c>
      <c r="O335" s="21">
        <v>51729.37</v>
      </c>
      <c r="P335" s="26">
        <v>27986.03</v>
      </c>
    </row>
    <row r="336" spans="1:16" x14ac:dyDescent="0.3">
      <c r="A336" s="25">
        <v>335</v>
      </c>
      <c r="B336" s="16" t="s">
        <v>46</v>
      </c>
      <c r="C336" s="16">
        <v>2024</v>
      </c>
      <c r="D336" s="16" t="s">
        <v>38</v>
      </c>
      <c r="E336" s="16" t="s">
        <v>32</v>
      </c>
      <c r="F336" s="16" t="s">
        <v>28</v>
      </c>
      <c r="G336" s="16">
        <v>21</v>
      </c>
      <c r="H336" s="16">
        <v>4142</v>
      </c>
      <c r="I336" s="16">
        <v>391</v>
      </c>
      <c r="J336" s="19">
        <v>0.79200000000000004</v>
      </c>
      <c r="K336" s="16">
        <v>76.599999999999994</v>
      </c>
      <c r="L336" s="19">
        <v>0.85699999999999998</v>
      </c>
      <c r="M336" s="19">
        <v>3.3000000000000002E-2</v>
      </c>
      <c r="N336" s="21">
        <v>23818.2</v>
      </c>
      <c r="O336" s="21">
        <v>17861.23</v>
      </c>
      <c r="P336" s="26">
        <v>5956.97</v>
      </c>
    </row>
    <row r="337" spans="1:16" x14ac:dyDescent="0.3">
      <c r="A337" s="25">
        <v>336</v>
      </c>
      <c r="B337" s="16" t="s">
        <v>46</v>
      </c>
      <c r="C337" s="16">
        <v>2024</v>
      </c>
      <c r="D337" s="16" t="s">
        <v>38</v>
      </c>
      <c r="E337" s="16" t="s">
        <v>30</v>
      </c>
      <c r="F337" s="16" t="s">
        <v>28</v>
      </c>
      <c r="G337" s="16">
        <v>61</v>
      </c>
      <c r="H337" s="16">
        <v>10497</v>
      </c>
      <c r="I337" s="16">
        <v>512.1</v>
      </c>
      <c r="J337" s="19">
        <v>0.69099999999999995</v>
      </c>
      <c r="K337" s="16">
        <v>90.3</v>
      </c>
      <c r="L337" s="19">
        <v>0.84199999999999997</v>
      </c>
      <c r="M337" s="19">
        <v>4.2999999999999997E-2</v>
      </c>
      <c r="N337" s="21">
        <v>90775.49</v>
      </c>
      <c r="O337" s="21">
        <v>69058.399999999994</v>
      </c>
      <c r="P337" s="26">
        <v>21717.09</v>
      </c>
    </row>
    <row r="338" spans="1:16" x14ac:dyDescent="0.3">
      <c r="A338" s="25">
        <v>337</v>
      </c>
      <c r="B338" s="16" t="s">
        <v>46</v>
      </c>
      <c r="C338" s="16">
        <v>2024</v>
      </c>
      <c r="D338" s="16" t="s">
        <v>38</v>
      </c>
      <c r="E338" s="16" t="s">
        <v>35</v>
      </c>
      <c r="F338" s="16" t="s">
        <v>28</v>
      </c>
      <c r="G338" s="16">
        <v>32</v>
      </c>
      <c r="H338" s="16">
        <v>4659</v>
      </c>
      <c r="I338" s="16">
        <v>502</v>
      </c>
      <c r="J338" s="19">
        <v>0.78</v>
      </c>
      <c r="K338" s="16">
        <v>87.9</v>
      </c>
      <c r="L338" s="19">
        <v>0.85299999999999998</v>
      </c>
      <c r="M338" s="19">
        <v>2.4E-2</v>
      </c>
      <c r="N338" s="21">
        <v>52352</v>
      </c>
      <c r="O338" s="21">
        <v>35898.25</v>
      </c>
      <c r="P338" s="26">
        <v>16453.75</v>
      </c>
    </row>
    <row r="339" spans="1:16" x14ac:dyDescent="0.3">
      <c r="A339" s="25">
        <v>338</v>
      </c>
      <c r="B339" s="16" t="s">
        <v>46</v>
      </c>
      <c r="C339" s="16">
        <v>2024</v>
      </c>
      <c r="D339" s="16" t="s">
        <v>38</v>
      </c>
      <c r="E339" s="16" t="s">
        <v>27</v>
      </c>
      <c r="F339" s="16" t="s">
        <v>29</v>
      </c>
      <c r="G339" s="16">
        <v>53</v>
      </c>
      <c r="H339" s="16">
        <v>8678</v>
      </c>
      <c r="I339" s="16">
        <v>340.2</v>
      </c>
      <c r="J339" s="19">
        <v>0.60799999999999998</v>
      </c>
      <c r="K339" s="16">
        <v>84.8</v>
      </c>
      <c r="L339" s="19">
        <v>0.89400000000000002</v>
      </c>
      <c r="M339" s="19">
        <v>4.2999999999999997E-2</v>
      </c>
      <c r="N339" s="21">
        <v>67132.88</v>
      </c>
      <c r="O339" s="21">
        <v>43026.45</v>
      </c>
      <c r="P339" s="26">
        <v>24106.43</v>
      </c>
    </row>
    <row r="340" spans="1:16" x14ac:dyDescent="0.3">
      <c r="A340" s="25">
        <v>339</v>
      </c>
      <c r="B340" s="16" t="s">
        <v>46</v>
      </c>
      <c r="C340" s="16">
        <v>2024</v>
      </c>
      <c r="D340" s="16" t="s">
        <v>38</v>
      </c>
      <c r="E340" s="16" t="s">
        <v>30</v>
      </c>
      <c r="F340" s="16" t="s">
        <v>29</v>
      </c>
      <c r="G340" s="16">
        <v>52</v>
      </c>
      <c r="H340" s="16">
        <v>10007</v>
      </c>
      <c r="I340" s="16">
        <v>300.89999999999998</v>
      </c>
      <c r="J340" s="19">
        <v>0.56200000000000006</v>
      </c>
      <c r="K340" s="16">
        <v>77.599999999999994</v>
      </c>
      <c r="L340" s="19">
        <v>0.97699999999999998</v>
      </c>
      <c r="M340" s="19">
        <v>1.4E-2</v>
      </c>
      <c r="N340" s="21">
        <v>65358.84</v>
      </c>
      <c r="O340" s="21">
        <v>42950.95</v>
      </c>
      <c r="P340" s="26">
        <v>22407.89</v>
      </c>
    </row>
    <row r="341" spans="1:16" x14ac:dyDescent="0.3">
      <c r="A341" s="25">
        <v>340</v>
      </c>
      <c r="B341" s="16" t="s">
        <v>46</v>
      </c>
      <c r="C341" s="16">
        <v>2024</v>
      </c>
      <c r="D341" s="16" t="s">
        <v>38</v>
      </c>
      <c r="E341" s="16" t="s">
        <v>32</v>
      </c>
      <c r="F341" s="16" t="s">
        <v>33</v>
      </c>
      <c r="G341" s="16">
        <v>41</v>
      </c>
      <c r="H341" s="16">
        <v>7170</v>
      </c>
      <c r="I341" s="16">
        <v>496.9</v>
      </c>
      <c r="J341" s="19">
        <v>0.75600000000000001</v>
      </c>
      <c r="K341" s="16">
        <v>84.3</v>
      </c>
      <c r="L341" s="19">
        <v>0.89300000000000002</v>
      </c>
      <c r="M341" s="19">
        <v>3.5999999999999997E-2</v>
      </c>
      <c r="N341" s="21">
        <v>60719.05</v>
      </c>
      <c r="O341" s="21">
        <v>40941.550000000003</v>
      </c>
      <c r="P341" s="26">
        <v>19777.5</v>
      </c>
    </row>
    <row r="342" spans="1:16" x14ac:dyDescent="0.3">
      <c r="A342" s="25">
        <v>341</v>
      </c>
      <c r="B342" s="16" t="s">
        <v>46</v>
      </c>
      <c r="C342" s="16">
        <v>2024</v>
      </c>
      <c r="D342" s="16" t="s">
        <v>38</v>
      </c>
      <c r="E342" s="16" t="s">
        <v>32</v>
      </c>
      <c r="F342" s="16" t="s">
        <v>36</v>
      </c>
      <c r="G342" s="16">
        <v>39</v>
      </c>
      <c r="H342" s="16">
        <v>6799</v>
      </c>
      <c r="I342" s="16">
        <v>877.4</v>
      </c>
      <c r="J342" s="19">
        <v>0.72499999999999998</v>
      </c>
      <c r="K342" s="16">
        <v>86.7</v>
      </c>
      <c r="L342" s="19">
        <v>0.83199999999999996</v>
      </c>
      <c r="M342" s="19">
        <v>3.3000000000000002E-2</v>
      </c>
      <c r="N342" s="21">
        <v>61639.45</v>
      </c>
      <c r="O342" s="21">
        <v>43153.33</v>
      </c>
      <c r="P342" s="26">
        <v>18486.12</v>
      </c>
    </row>
    <row r="343" spans="1:16" x14ac:dyDescent="0.3">
      <c r="A343" s="25">
        <v>342</v>
      </c>
      <c r="B343" s="16" t="s">
        <v>46</v>
      </c>
      <c r="C343" s="16">
        <v>2024</v>
      </c>
      <c r="D343" s="16" t="s">
        <v>38</v>
      </c>
      <c r="E343" s="16" t="s">
        <v>27</v>
      </c>
      <c r="F343" s="16" t="s">
        <v>36</v>
      </c>
      <c r="G343" s="16">
        <v>29</v>
      </c>
      <c r="H343" s="16">
        <v>4656</v>
      </c>
      <c r="I343" s="16">
        <v>939.6</v>
      </c>
      <c r="J343" s="19">
        <v>0.66300000000000003</v>
      </c>
      <c r="K343" s="16">
        <v>84.4</v>
      </c>
      <c r="L343" s="19">
        <v>0.97199999999999998</v>
      </c>
      <c r="M343" s="19">
        <v>3.5000000000000003E-2</v>
      </c>
      <c r="N343" s="21">
        <v>40765.339999999997</v>
      </c>
      <c r="O343" s="21">
        <v>30570.39</v>
      </c>
      <c r="P343" s="26">
        <v>10194.950000000001</v>
      </c>
    </row>
    <row r="344" spans="1:16" x14ac:dyDescent="0.3">
      <c r="A344" s="25">
        <v>343</v>
      </c>
      <c r="B344" s="16" t="s">
        <v>46</v>
      </c>
      <c r="C344" s="16">
        <v>2024</v>
      </c>
      <c r="D344" s="16" t="s">
        <v>38</v>
      </c>
      <c r="E344" s="16" t="s">
        <v>30</v>
      </c>
      <c r="F344" s="16" t="s">
        <v>36</v>
      </c>
      <c r="G344" s="16">
        <v>57</v>
      </c>
      <c r="H344" s="16">
        <v>8634</v>
      </c>
      <c r="I344" s="16">
        <v>916.1</v>
      </c>
      <c r="J344" s="19">
        <v>0.65700000000000003</v>
      </c>
      <c r="K344" s="16">
        <v>89.2</v>
      </c>
      <c r="L344" s="19">
        <v>0.93300000000000005</v>
      </c>
      <c r="M344" s="19">
        <v>4.3999999999999997E-2</v>
      </c>
      <c r="N344" s="21">
        <v>68374.429999999993</v>
      </c>
      <c r="O344" s="21">
        <v>44239.44</v>
      </c>
      <c r="P344" s="26">
        <v>24134.99</v>
      </c>
    </row>
    <row r="345" spans="1:16" x14ac:dyDescent="0.3">
      <c r="A345" s="25">
        <v>344</v>
      </c>
      <c r="B345" s="16" t="s">
        <v>46</v>
      </c>
      <c r="C345" s="16">
        <v>2024</v>
      </c>
      <c r="D345" s="16" t="s">
        <v>38</v>
      </c>
      <c r="E345" s="16" t="s">
        <v>31</v>
      </c>
      <c r="F345" s="16" t="s">
        <v>36</v>
      </c>
      <c r="G345" s="16">
        <v>62</v>
      </c>
      <c r="H345" s="16">
        <v>9816</v>
      </c>
      <c r="I345" s="16">
        <v>855.2</v>
      </c>
      <c r="J345" s="19">
        <v>0.67600000000000005</v>
      </c>
      <c r="K345" s="16">
        <v>85.9</v>
      </c>
      <c r="L345" s="19">
        <v>0.93600000000000005</v>
      </c>
      <c r="M345" s="19">
        <v>4.3999999999999997E-2</v>
      </c>
      <c r="N345" s="21">
        <v>70639.759999999995</v>
      </c>
      <c r="O345" s="21">
        <v>49573.440000000002</v>
      </c>
      <c r="P345" s="26">
        <v>21066.32</v>
      </c>
    </row>
    <row r="346" spans="1:16" x14ac:dyDescent="0.3">
      <c r="A346" s="25">
        <v>345</v>
      </c>
      <c r="B346" s="16" t="s">
        <v>46</v>
      </c>
      <c r="C346" s="16">
        <v>2024</v>
      </c>
      <c r="D346" s="16" t="s">
        <v>38</v>
      </c>
      <c r="E346" s="16" t="s">
        <v>35</v>
      </c>
      <c r="F346" s="16" t="s">
        <v>36</v>
      </c>
      <c r="G346" s="16">
        <v>64</v>
      </c>
      <c r="H346" s="16">
        <v>10045</v>
      </c>
      <c r="I346" s="16">
        <v>921.3</v>
      </c>
      <c r="J346" s="19">
        <v>0.75</v>
      </c>
      <c r="K346" s="16">
        <v>91.1</v>
      </c>
      <c r="L346" s="19">
        <v>0.95199999999999996</v>
      </c>
      <c r="M346" s="19">
        <v>4.2999999999999997E-2</v>
      </c>
      <c r="N346" s="21">
        <v>84922.47</v>
      </c>
      <c r="O346" s="21">
        <v>62507.99</v>
      </c>
      <c r="P346" s="26">
        <v>22414.48</v>
      </c>
    </row>
    <row r="347" spans="1:16" x14ac:dyDescent="0.3">
      <c r="A347" s="25">
        <v>346</v>
      </c>
      <c r="B347" s="16" t="s">
        <v>46</v>
      </c>
      <c r="C347" s="16">
        <v>2024</v>
      </c>
      <c r="D347" s="16" t="s">
        <v>38</v>
      </c>
      <c r="E347" s="16" t="s">
        <v>30</v>
      </c>
      <c r="F347" s="16" t="s">
        <v>37</v>
      </c>
      <c r="G347" s="16">
        <v>60</v>
      </c>
      <c r="H347" s="16">
        <v>11343</v>
      </c>
      <c r="I347" s="16">
        <v>623.29999999999995</v>
      </c>
      <c r="J347" s="19">
        <v>0.63</v>
      </c>
      <c r="K347" s="16">
        <v>81.3</v>
      </c>
      <c r="L347" s="19">
        <v>0.86899999999999999</v>
      </c>
      <c r="M347" s="19">
        <v>3.5000000000000003E-2</v>
      </c>
      <c r="N347" s="21">
        <v>87217.33</v>
      </c>
      <c r="O347" s="21">
        <v>56018</v>
      </c>
      <c r="P347" s="26">
        <v>31199.33</v>
      </c>
    </row>
    <row r="348" spans="1:16" x14ac:dyDescent="0.3">
      <c r="A348" s="25">
        <v>347</v>
      </c>
      <c r="B348" s="16" t="s">
        <v>46</v>
      </c>
      <c r="C348" s="16">
        <v>2024</v>
      </c>
      <c r="D348" s="16" t="s">
        <v>38</v>
      </c>
      <c r="E348" s="16" t="s">
        <v>35</v>
      </c>
      <c r="F348" s="16" t="s">
        <v>37</v>
      </c>
      <c r="G348" s="16">
        <v>23</v>
      </c>
      <c r="H348" s="16">
        <v>3074</v>
      </c>
      <c r="I348" s="16">
        <v>671.2</v>
      </c>
      <c r="J348" s="19">
        <v>0.55200000000000005</v>
      </c>
      <c r="K348" s="16">
        <v>87.1</v>
      </c>
      <c r="L348" s="19">
        <v>1</v>
      </c>
      <c r="M348" s="19">
        <v>0.03</v>
      </c>
      <c r="N348" s="21">
        <v>34009.15</v>
      </c>
      <c r="O348" s="21">
        <v>21838.62</v>
      </c>
      <c r="P348" s="26">
        <v>12170.53</v>
      </c>
    </row>
    <row r="349" spans="1:16" x14ac:dyDescent="0.3">
      <c r="A349" s="25">
        <v>348</v>
      </c>
      <c r="B349" s="16" t="s">
        <v>46</v>
      </c>
      <c r="C349" s="16">
        <v>2024</v>
      </c>
      <c r="D349" s="16" t="s">
        <v>39</v>
      </c>
      <c r="E349" s="16" t="s">
        <v>32</v>
      </c>
      <c r="F349" s="16" t="s">
        <v>28</v>
      </c>
      <c r="G349" s="16">
        <v>42</v>
      </c>
      <c r="H349" s="16">
        <v>6630</v>
      </c>
      <c r="I349" s="16">
        <v>459.8</v>
      </c>
      <c r="J349" s="19">
        <v>0.88200000000000001</v>
      </c>
      <c r="K349" s="16">
        <v>72.8</v>
      </c>
      <c r="L349" s="19">
        <v>0.86299999999999999</v>
      </c>
      <c r="M349" s="19">
        <v>1.2E-2</v>
      </c>
      <c r="N349" s="21">
        <v>76644.5</v>
      </c>
      <c r="O349" s="21">
        <v>57578.45</v>
      </c>
      <c r="P349" s="26">
        <v>19066.05</v>
      </c>
    </row>
    <row r="350" spans="1:16" x14ac:dyDescent="0.3">
      <c r="A350" s="25">
        <v>349</v>
      </c>
      <c r="B350" s="16" t="s">
        <v>46</v>
      </c>
      <c r="C350" s="16">
        <v>2024</v>
      </c>
      <c r="D350" s="16" t="s">
        <v>39</v>
      </c>
      <c r="E350" s="16" t="s">
        <v>27</v>
      </c>
      <c r="F350" s="16" t="s">
        <v>28</v>
      </c>
      <c r="G350" s="16">
        <v>27</v>
      </c>
      <c r="H350" s="16">
        <v>3069</v>
      </c>
      <c r="I350" s="16">
        <v>454.3</v>
      </c>
      <c r="J350" s="19">
        <v>0.73</v>
      </c>
      <c r="K350" s="16">
        <v>70.900000000000006</v>
      </c>
      <c r="L350" s="19">
        <v>0.94799999999999995</v>
      </c>
      <c r="M350" s="19">
        <v>3.1E-2</v>
      </c>
      <c r="N350" s="21">
        <v>39118.089999999997</v>
      </c>
      <c r="O350" s="21">
        <v>26412.639999999999</v>
      </c>
      <c r="P350" s="26">
        <v>12705.45</v>
      </c>
    </row>
    <row r="351" spans="1:16" x14ac:dyDescent="0.3">
      <c r="A351" s="25">
        <v>350</v>
      </c>
      <c r="B351" s="16" t="s">
        <v>46</v>
      </c>
      <c r="C351" s="16">
        <v>2024</v>
      </c>
      <c r="D351" s="16" t="s">
        <v>39</v>
      </c>
      <c r="E351" s="16" t="s">
        <v>27</v>
      </c>
      <c r="F351" s="16" t="s">
        <v>29</v>
      </c>
      <c r="G351" s="16">
        <v>52</v>
      </c>
      <c r="H351" s="16">
        <v>9026</v>
      </c>
      <c r="I351" s="16">
        <v>306</v>
      </c>
      <c r="J351" s="19">
        <v>0.63300000000000001</v>
      </c>
      <c r="K351" s="16">
        <v>77.400000000000006</v>
      </c>
      <c r="L351" s="19">
        <v>0.90200000000000002</v>
      </c>
      <c r="M351" s="19">
        <v>3.6999999999999998E-2</v>
      </c>
      <c r="N351" s="21">
        <v>59501.99</v>
      </c>
      <c r="O351" s="21">
        <v>40212.22</v>
      </c>
      <c r="P351" s="26">
        <v>19289.77</v>
      </c>
    </row>
    <row r="352" spans="1:16" x14ac:dyDescent="0.3">
      <c r="A352" s="25">
        <v>351</v>
      </c>
      <c r="B352" s="16" t="s">
        <v>46</v>
      </c>
      <c r="C352" s="16">
        <v>2024</v>
      </c>
      <c r="D352" s="16" t="s">
        <v>39</v>
      </c>
      <c r="E352" s="16" t="s">
        <v>34</v>
      </c>
      <c r="F352" s="16" t="s">
        <v>29</v>
      </c>
      <c r="G352" s="16">
        <v>36</v>
      </c>
      <c r="H352" s="16">
        <v>5996</v>
      </c>
      <c r="I352" s="16">
        <v>350.1</v>
      </c>
      <c r="J352" s="19">
        <v>0.623</v>
      </c>
      <c r="K352" s="16">
        <v>74.5</v>
      </c>
      <c r="L352" s="19">
        <v>0.90600000000000003</v>
      </c>
      <c r="M352" s="19">
        <v>0.01</v>
      </c>
      <c r="N352" s="21">
        <v>60754.6</v>
      </c>
      <c r="O352" s="21">
        <v>46041.74</v>
      </c>
      <c r="P352" s="26">
        <v>14712.86</v>
      </c>
    </row>
    <row r="353" spans="1:16" x14ac:dyDescent="0.3">
      <c r="A353" s="25">
        <v>352</v>
      </c>
      <c r="B353" s="16" t="s">
        <v>46</v>
      </c>
      <c r="C353" s="16">
        <v>2024</v>
      </c>
      <c r="D353" s="16" t="s">
        <v>39</v>
      </c>
      <c r="E353" s="16" t="s">
        <v>31</v>
      </c>
      <c r="F353" s="16" t="s">
        <v>29</v>
      </c>
      <c r="G353" s="16">
        <v>49</v>
      </c>
      <c r="H353" s="16">
        <v>7818</v>
      </c>
      <c r="I353" s="16">
        <v>312.89999999999998</v>
      </c>
      <c r="J353" s="19">
        <v>0.64900000000000002</v>
      </c>
      <c r="K353" s="16">
        <v>73.900000000000006</v>
      </c>
      <c r="L353" s="19">
        <v>0.91400000000000003</v>
      </c>
      <c r="M353" s="19">
        <v>3.7999999999999999E-2</v>
      </c>
      <c r="N353" s="21">
        <v>66679.63</v>
      </c>
      <c r="O353" s="21">
        <v>50490.14</v>
      </c>
      <c r="P353" s="26">
        <v>16189.49</v>
      </c>
    </row>
    <row r="354" spans="1:16" x14ac:dyDescent="0.3">
      <c r="A354" s="25">
        <v>353</v>
      </c>
      <c r="B354" s="16" t="s">
        <v>46</v>
      </c>
      <c r="C354" s="16">
        <v>2024</v>
      </c>
      <c r="D354" s="16" t="s">
        <v>39</v>
      </c>
      <c r="E354" s="16" t="s">
        <v>32</v>
      </c>
      <c r="F354" s="16" t="s">
        <v>33</v>
      </c>
      <c r="G354" s="16">
        <v>23</v>
      </c>
      <c r="H354" s="16">
        <v>3442</v>
      </c>
      <c r="I354" s="16">
        <v>459</v>
      </c>
      <c r="J354" s="19">
        <v>0.80200000000000005</v>
      </c>
      <c r="K354" s="16">
        <v>77.7</v>
      </c>
      <c r="L354" s="19">
        <v>0.91400000000000003</v>
      </c>
      <c r="M354" s="19">
        <v>2.1999999999999999E-2</v>
      </c>
      <c r="N354" s="21">
        <v>29686.51</v>
      </c>
      <c r="O354" s="21">
        <v>19789.560000000001</v>
      </c>
      <c r="P354" s="26">
        <v>9896.9500000000007</v>
      </c>
    </row>
    <row r="355" spans="1:16" x14ac:dyDescent="0.3">
      <c r="A355" s="25">
        <v>354</v>
      </c>
      <c r="B355" s="16" t="s">
        <v>46</v>
      </c>
      <c r="C355" s="16">
        <v>2024</v>
      </c>
      <c r="D355" s="16" t="s">
        <v>39</v>
      </c>
      <c r="E355" s="16" t="s">
        <v>34</v>
      </c>
      <c r="F355" s="16" t="s">
        <v>33</v>
      </c>
      <c r="G355" s="16">
        <v>44</v>
      </c>
      <c r="H355" s="16">
        <v>7846</v>
      </c>
      <c r="I355" s="16">
        <v>451.1</v>
      </c>
      <c r="J355" s="19">
        <v>0.72099999999999997</v>
      </c>
      <c r="K355" s="16">
        <v>77.7</v>
      </c>
      <c r="L355" s="19">
        <v>0.84499999999999997</v>
      </c>
      <c r="M355" s="19">
        <v>1.9E-2</v>
      </c>
      <c r="N355" s="21">
        <v>59943.5</v>
      </c>
      <c r="O355" s="21">
        <v>44676.24</v>
      </c>
      <c r="P355" s="26">
        <v>15267.26</v>
      </c>
    </row>
    <row r="356" spans="1:16" x14ac:dyDescent="0.3">
      <c r="A356" s="25">
        <v>355</v>
      </c>
      <c r="B356" s="16" t="s">
        <v>46</v>
      </c>
      <c r="C356" s="16">
        <v>2024</v>
      </c>
      <c r="D356" s="16" t="s">
        <v>39</v>
      </c>
      <c r="E356" s="16" t="s">
        <v>35</v>
      </c>
      <c r="F356" s="16" t="s">
        <v>33</v>
      </c>
      <c r="G356" s="16">
        <v>47</v>
      </c>
      <c r="H356" s="16">
        <v>8745</v>
      </c>
      <c r="I356" s="16">
        <v>503.4</v>
      </c>
      <c r="J356" s="19">
        <v>0.71499999999999997</v>
      </c>
      <c r="K356" s="16">
        <v>84.3</v>
      </c>
      <c r="L356" s="19">
        <v>0.9</v>
      </c>
      <c r="M356" s="19">
        <v>2.8000000000000001E-2</v>
      </c>
      <c r="N356" s="21">
        <v>65205.55</v>
      </c>
      <c r="O356" s="21">
        <v>48454.95</v>
      </c>
      <c r="P356" s="26">
        <v>16750.599999999999</v>
      </c>
    </row>
    <row r="357" spans="1:16" x14ac:dyDescent="0.3">
      <c r="A357" s="25">
        <v>356</v>
      </c>
      <c r="B357" s="16" t="s">
        <v>46</v>
      </c>
      <c r="C357" s="16">
        <v>2024</v>
      </c>
      <c r="D357" s="16" t="s">
        <v>39</v>
      </c>
      <c r="E357" s="16" t="s">
        <v>32</v>
      </c>
      <c r="F357" s="16" t="s">
        <v>36</v>
      </c>
      <c r="G357" s="16">
        <v>42</v>
      </c>
      <c r="H357" s="16">
        <v>6898</v>
      </c>
      <c r="I357" s="16">
        <v>860.3</v>
      </c>
      <c r="J357" s="19">
        <v>0.63900000000000001</v>
      </c>
      <c r="K357" s="16">
        <v>75.099999999999994</v>
      </c>
      <c r="L357" s="19">
        <v>0.82699999999999996</v>
      </c>
      <c r="M357" s="19">
        <v>1.4E-2</v>
      </c>
      <c r="N357" s="21">
        <v>57625.57</v>
      </c>
      <c r="O357" s="21">
        <v>42101.21</v>
      </c>
      <c r="P357" s="26">
        <v>15524.36</v>
      </c>
    </row>
    <row r="358" spans="1:16" x14ac:dyDescent="0.3">
      <c r="A358" s="25">
        <v>357</v>
      </c>
      <c r="B358" s="16" t="s">
        <v>46</v>
      </c>
      <c r="C358" s="16">
        <v>2024</v>
      </c>
      <c r="D358" s="16" t="s">
        <v>39</v>
      </c>
      <c r="E358" s="16" t="s">
        <v>31</v>
      </c>
      <c r="F358" s="16" t="s">
        <v>36</v>
      </c>
      <c r="G358" s="16">
        <v>56</v>
      </c>
      <c r="H358" s="16">
        <v>10416</v>
      </c>
      <c r="I358" s="16">
        <v>906.5</v>
      </c>
      <c r="J358" s="19">
        <v>0.628</v>
      </c>
      <c r="K358" s="16">
        <v>80.900000000000006</v>
      </c>
      <c r="L358" s="19">
        <v>0.87</v>
      </c>
      <c r="M358" s="19">
        <v>2.3E-2</v>
      </c>
      <c r="N358" s="21">
        <v>73376.100000000006</v>
      </c>
      <c r="O358" s="21">
        <v>48709.85</v>
      </c>
      <c r="P358" s="26">
        <v>24666.25</v>
      </c>
    </row>
    <row r="359" spans="1:16" x14ac:dyDescent="0.3">
      <c r="A359" s="25">
        <v>358</v>
      </c>
      <c r="B359" s="16" t="s">
        <v>46</v>
      </c>
      <c r="C359" s="16">
        <v>2024</v>
      </c>
      <c r="D359" s="16" t="s">
        <v>39</v>
      </c>
      <c r="E359" s="16" t="s">
        <v>35</v>
      </c>
      <c r="F359" s="16" t="s">
        <v>36</v>
      </c>
      <c r="G359" s="16">
        <v>42</v>
      </c>
      <c r="H359" s="16">
        <v>7066</v>
      </c>
      <c r="I359" s="16">
        <v>922.3</v>
      </c>
      <c r="J359" s="19">
        <v>0.69199999999999995</v>
      </c>
      <c r="K359" s="16">
        <v>84</v>
      </c>
      <c r="L359" s="19">
        <v>0.97899999999999998</v>
      </c>
      <c r="M359" s="19">
        <v>2.5000000000000001E-2</v>
      </c>
      <c r="N359" s="21">
        <v>54982.33</v>
      </c>
      <c r="O359" s="21">
        <v>37102.879999999997</v>
      </c>
      <c r="P359" s="26">
        <v>17879.45</v>
      </c>
    </row>
    <row r="360" spans="1:16" x14ac:dyDescent="0.3">
      <c r="A360" s="25">
        <v>359</v>
      </c>
      <c r="B360" s="16" t="s">
        <v>46</v>
      </c>
      <c r="C360" s="16">
        <v>2024</v>
      </c>
      <c r="D360" s="16" t="s">
        <v>39</v>
      </c>
      <c r="E360" s="16" t="s">
        <v>32</v>
      </c>
      <c r="F360" s="16" t="s">
        <v>37</v>
      </c>
      <c r="G360" s="16">
        <v>39</v>
      </c>
      <c r="H360" s="16">
        <v>5981</v>
      </c>
      <c r="I360" s="16">
        <v>671.2</v>
      </c>
      <c r="J360" s="19">
        <v>0.73199999999999998</v>
      </c>
      <c r="K360" s="16">
        <v>72.8</v>
      </c>
      <c r="L360" s="19">
        <v>0.81599999999999995</v>
      </c>
      <c r="M360" s="19">
        <v>1.9E-2</v>
      </c>
      <c r="N360" s="21">
        <v>67896.77</v>
      </c>
      <c r="O360" s="21">
        <v>43709.3</v>
      </c>
      <c r="P360" s="26">
        <v>24187.47</v>
      </c>
    </row>
    <row r="361" spans="1:16" x14ac:dyDescent="0.3">
      <c r="A361" s="25">
        <v>360</v>
      </c>
      <c r="B361" s="16" t="s">
        <v>46</v>
      </c>
      <c r="C361" s="16">
        <v>2024</v>
      </c>
      <c r="D361" s="16" t="s">
        <v>39</v>
      </c>
      <c r="E361" s="16" t="s">
        <v>27</v>
      </c>
      <c r="F361" s="16" t="s">
        <v>37</v>
      </c>
      <c r="G361" s="16">
        <v>38</v>
      </c>
      <c r="H361" s="16">
        <v>6978</v>
      </c>
      <c r="I361" s="16">
        <v>648.9</v>
      </c>
      <c r="J361" s="19">
        <v>0.66</v>
      </c>
      <c r="K361" s="16">
        <v>75.099999999999994</v>
      </c>
      <c r="L361" s="19">
        <v>0.97099999999999997</v>
      </c>
      <c r="M361" s="19">
        <v>0.02</v>
      </c>
      <c r="N361" s="21">
        <v>64058.43</v>
      </c>
      <c r="O361" s="21">
        <v>46850.59</v>
      </c>
      <c r="P361" s="26">
        <v>17207.84</v>
      </c>
    </row>
    <row r="362" spans="1:16" x14ac:dyDescent="0.3">
      <c r="A362" s="25">
        <v>361</v>
      </c>
      <c r="B362" s="16" t="s">
        <v>46</v>
      </c>
      <c r="C362" s="16">
        <v>2024</v>
      </c>
      <c r="D362" s="16" t="s">
        <v>39</v>
      </c>
      <c r="E362" s="16" t="s">
        <v>34</v>
      </c>
      <c r="F362" s="16" t="s">
        <v>37</v>
      </c>
      <c r="G362" s="16">
        <v>42</v>
      </c>
      <c r="H362" s="16">
        <v>5516</v>
      </c>
      <c r="I362" s="16">
        <v>639</v>
      </c>
      <c r="J362" s="19">
        <v>0.71</v>
      </c>
      <c r="K362" s="16">
        <v>85.5</v>
      </c>
      <c r="L362" s="19">
        <v>0.878</v>
      </c>
      <c r="M362" s="19">
        <v>1.9E-2</v>
      </c>
      <c r="N362" s="21">
        <v>59386.67</v>
      </c>
      <c r="O362" s="21">
        <v>42614.1</v>
      </c>
      <c r="P362" s="26">
        <v>16772.57</v>
      </c>
    </row>
    <row r="363" spans="1:16" x14ac:dyDescent="0.3">
      <c r="A363" s="25">
        <v>362</v>
      </c>
      <c r="B363" s="16" t="s">
        <v>46</v>
      </c>
      <c r="C363" s="16">
        <v>2024</v>
      </c>
      <c r="D363" s="16" t="s">
        <v>40</v>
      </c>
      <c r="E363" s="16" t="s">
        <v>31</v>
      </c>
      <c r="F363" s="16" t="s">
        <v>28</v>
      </c>
      <c r="G363" s="16">
        <v>44</v>
      </c>
      <c r="H363" s="16">
        <v>6850</v>
      </c>
      <c r="I363" s="16">
        <v>405.1</v>
      </c>
      <c r="J363" s="19">
        <v>0.73599999999999999</v>
      </c>
      <c r="K363" s="16">
        <v>84.6</v>
      </c>
      <c r="L363" s="19">
        <v>0.90800000000000003</v>
      </c>
      <c r="M363" s="19">
        <v>4.2000000000000003E-2</v>
      </c>
      <c r="N363" s="21">
        <v>70642.210000000006</v>
      </c>
      <c r="O363" s="21">
        <v>49840.160000000003</v>
      </c>
      <c r="P363" s="26">
        <v>20802.05</v>
      </c>
    </row>
    <row r="364" spans="1:16" x14ac:dyDescent="0.3">
      <c r="A364" s="25">
        <v>363</v>
      </c>
      <c r="B364" s="16" t="s">
        <v>46</v>
      </c>
      <c r="C364" s="16">
        <v>2024</v>
      </c>
      <c r="D364" s="16" t="s">
        <v>40</v>
      </c>
      <c r="E364" s="16" t="s">
        <v>27</v>
      </c>
      <c r="F364" s="16" t="s">
        <v>29</v>
      </c>
      <c r="G364" s="16">
        <v>28</v>
      </c>
      <c r="H364" s="16">
        <v>3652</v>
      </c>
      <c r="I364" s="16">
        <v>270.39999999999998</v>
      </c>
      <c r="J364" s="19">
        <v>0.72199999999999998</v>
      </c>
      <c r="K364" s="16">
        <v>84.8</v>
      </c>
      <c r="L364" s="19">
        <v>0.80800000000000005</v>
      </c>
      <c r="M364" s="19">
        <v>2.7E-2</v>
      </c>
      <c r="N364" s="21">
        <v>37969.440000000002</v>
      </c>
      <c r="O364" s="21">
        <v>28060.36</v>
      </c>
      <c r="P364" s="26">
        <v>9909.08</v>
      </c>
    </row>
    <row r="365" spans="1:16" x14ac:dyDescent="0.3">
      <c r="A365" s="25">
        <v>364</v>
      </c>
      <c r="B365" s="16" t="s">
        <v>46</v>
      </c>
      <c r="C365" s="16">
        <v>2024</v>
      </c>
      <c r="D365" s="16" t="s">
        <v>40</v>
      </c>
      <c r="E365" s="16" t="s">
        <v>30</v>
      </c>
      <c r="F365" s="16" t="s">
        <v>29</v>
      </c>
      <c r="G365" s="16">
        <v>17</v>
      </c>
      <c r="H365" s="16">
        <v>2417</v>
      </c>
      <c r="I365" s="16">
        <v>297.39999999999998</v>
      </c>
      <c r="J365" s="19">
        <v>0.68200000000000005</v>
      </c>
      <c r="K365" s="16">
        <v>69</v>
      </c>
      <c r="L365" s="19">
        <v>0.90900000000000003</v>
      </c>
      <c r="M365" s="19">
        <v>2.3E-2</v>
      </c>
      <c r="N365" s="21">
        <v>25413.32</v>
      </c>
      <c r="O365" s="21">
        <v>18855.36</v>
      </c>
      <c r="P365" s="26">
        <v>6557.96</v>
      </c>
    </row>
    <row r="366" spans="1:16" x14ac:dyDescent="0.3">
      <c r="A366" s="25">
        <v>365</v>
      </c>
      <c r="B366" s="16" t="s">
        <v>46</v>
      </c>
      <c r="C366" s="16">
        <v>2024</v>
      </c>
      <c r="D366" s="16" t="s">
        <v>40</v>
      </c>
      <c r="E366" s="16" t="s">
        <v>34</v>
      </c>
      <c r="F366" s="16" t="s">
        <v>29</v>
      </c>
      <c r="G366" s="16">
        <v>33</v>
      </c>
      <c r="H366" s="16">
        <v>4020</v>
      </c>
      <c r="I366" s="16">
        <v>284.3</v>
      </c>
      <c r="J366" s="19">
        <v>0.71</v>
      </c>
      <c r="K366" s="16">
        <v>87</v>
      </c>
      <c r="L366" s="19">
        <v>0.92600000000000005</v>
      </c>
      <c r="M366" s="19">
        <v>3.2000000000000001E-2</v>
      </c>
      <c r="N366" s="21">
        <v>47820.29</v>
      </c>
      <c r="O366" s="21">
        <v>32671.23</v>
      </c>
      <c r="P366" s="26">
        <v>15149.06</v>
      </c>
    </row>
    <row r="367" spans="1:16" x14ac:dyDescent="0.3">
      <c r="A367" s="25">
        <v>366</v>
      </c>
      <c r="B367" s="16" t="s">
        <v>46</v>
      </c>
      <c r="C367" s="16">
        <v>2024</v>
      </c>
      <c r="D367" s="16" t="s">
        <v>40</v>
      </c>
      <c r="E367" s="16" t="s">
        <v>32</v>
      </c>
      <c r="F367" s="16" t="s">
        <v>33</v>
      </c>
      <c r="G367" s="16">
        <v>69</v>
      </c>
      <c r="H367" s="16">
        <v>10595</v>
      </c>
      <c r="I367" s="16">
        <v>533</v>
      </c>
      <c r="J367" s="19">
        <v>0.65600000000000003</v>
      </c>
      <c r="K367" s="16">
        <v>87.9</v>
      </c>
      <c r="L367" s="19">
        <v>0.81499999999999995</v>
      </c>
      <c r="M367" s="19">
        <v>1.7999999999999999E-2</v>
      </c>
      <c r="N367" s="21">
        <v>92616.53</v>
      </c>
      <c r="O367" s="21">
        <v>61747.98</v>
      </c>
      <c r="P367" s="26">
        <v>30868.55</v>
      </c>
    </row>
    <row r="368" spans="1:16" x14ac:dyDescent="0.3">
      <c r="A368" s="25">
        <v>367</v>
      </c>
      <c r="B368" s="16" t="s">
        <v>46</v>
      </c>
      <c r="C368" s="16">
        <v>2024</v>
      </c>
      <c r="D368" s="16" t="s">
        <v>40</v>
      </c>
      <c r="E368" s="16" t="s">
        <v>27</v>
      </c>
      <c r="F368" s="16" t="s">
        <v>33</v>
      </c>
      <c r="G368" s="16">
        <v>22</v>
      </c>
      <c r="H368" s="16">
        <v>3479</v>
      </c>
      <c r="I368" s="16">
        <v>476.5</v>
      </c>
      <c r="J368" s="19">
        <v>0.77300000000000002</v>
      </c>
      <c r="K368" s="16">
        <v>89.7</v>
      </c>
      <c r="L368" s="19">
        <v>1</v>
      </c>
      <c r="M368" s="19">
        <v>2.4E-2</v>
      </c>
      <c r="N368" s="21">
        <v>33180.019999999997</v>
      </c>
      <c r="O368" s="21">
        <v>21910.35</v>
      </c>
      <c r="P368" s="26">
        <v>11269.67</v>
      </c>
    </row>
    <row r="369" spans="1:16" x14ac:dyDescent="0.3">
      <c r="A369" s="25">
        <v>368</v>
      </c>
      <c r="B369" s="16" t="s">
        <v>46</v>
      </c>
      <c r="C369" s="16">
        <v>2024</v>
      </c>
      <c r="D369" s="16" t="s">
        <v>40</v>
      </c>
      <c r="E369" s="16" t="s">
        <v>27</v>
      </c>
      <c r="F369" s="16" t="s">
        <v>36</v>
      </c>
      <c r="G369" s="16">
        <v>56</v>
      </c>
      <c r="H369" s="16">
        <v>7630</v>
      </c>
      <c r="I369" s="16">
        <v>907.3</v>
      </c>
      <c r="J369" s="19">
        <v>0.77300000000000002</v>
      </c>
      <c r="K369" s="16">
        <v>86.4</v>
      </c>
      <c r="L369" s="19">
        <v>0.99099999999999999</v>
      </c>
      <c r="M369" s="19">
        <v>1.7999999999999999E-2</v>
      </c>
      <c r="N369" s="21">
        <v>89310.01</v>
      </c>
      <c r="O369" s="21">
        <v>66371.58</v>
      </c>
      <c r="P369" s="26">
        <v>22938.43</v>
      </c>
    </row>
    <row r="370" spans="1:16" x14ac:dyDescent="0.3">
      <c r="A370" s="25">
        <v>369</v>
      </c>
      <c r="B370" s="16" t="s">
        <v>46</v>
      </c>
      <c r="C370" s="16">
        <v>2024</v>
      </c>
      <c r="D370" s="16" t="s">
        <v>40</v>
      </c>
      <c r="E370" s="16" t="s">
        <v>30</v>
      </c>
      <c r="F370" s="16" t="s">
        <v>36</v>
      </c>
      <c r="G370" s="16">
        <v>17</v>
      </c>
      <c r="H370" s="16">
        <v>3013</v>
      </c>
      <c r="I370" s="16">
        <v>877.1</v>
      </c>
      <c r="J370" s="19">
        <v>0.71199999999999997</v>
      </c>
      <c r="K370" s="16">
        <v>89</v>
      </c>
      <c r="L370" s="19">
        <v>0.80100000000000005</v>
      </c>
      <c r="M370" s="19">
        <v>0.02</v>
      </c>
      <c r="N370" s="21">
        <v>28278.15</v>
      </c>
      <c r="O370" s="21">
        <v>19674.509999999998</v>
      </c>
      <c r="P370" s="26">
        <v>8603.64</v>
      </c>
    </row>
    <row r="371" spans="1:16" x14ac:dyDescent="0.3">
      <c r="A371" s="25">
        <v>370</v>
      </c>
      <c r="B371" s="16" t="s">
        <v>46</v>
      </c>
      <c r="C371" s="16">
        <v>2024</v>
      </c>
      <c r="D371" s="16" t="s">
        <v>40</v>
      </c>
      <c r="E371" s="16" t="s">
        <v>34</v>
      </c>
      <c r="F371" s="16" t="s">
        <v>36</v>
      </c>
      <c r="G371" s="16">
        <v>57</v>
      </c>
      <c r="H371" s="16">
        <v>8698</v>
      </c>
      <c r="I371" s="16">
        <v>903.9</v>
      </c>
      <c r="J371" s="19">
        <v>0.69099999999999995</v>
      </c>
      <c r="K371" s="16">
        <v>82.4</v>
      </c>
      <c r="L371" s="19">
        <v>0.82799999999999996</v>
      </c>
      <c r="M371" s="19">
        <v>2.9000000000000001E-2</v>
      </c>
      <c r="N371" s="21">
        <v>74430.75</v>
      </c>
      <c r="O371" s="21">
        <v>54561.96</v>
      </c>
      <c r="P371" s="26">
        <v>19868.79</v>
      </c>
    </row>
    <row r="372" spans="1:16" x14ac:dyDescent="0.3">
      <c r="A372" s="25">
        <v>371</v>
      </c>
      <c r="B372" s="16" t="s">
        <v>46</v>
      </c>
      <c r="C372" s="16">
        <v>2024</v>
      </c>
      <c r="D372" s="16" t="s">
        <v>40</v>
      </c>
      <c r="E372" s="16" t="s">
        <v>35</v>
      </c>
      <c r="F372" s="16" t="s">
        <v>36</v>
      </c>
      <c r="G372" s="16">
        <v>36</v>
      </c>
      <c r="H372" s="16">
        <v>5319</v>
      </c>
      <c r="I372" s="16">
        <v>896.3</v>
      </c>
      <c r="J372" s="19">
        <v>0.68600000000000005</v>
      </c>
      <c r="K372" s="16">
        <v>89.6</v>
      </c>
      <c r="L372" s="19">
        <v>0.85599999999999998</v>
      </c>
      <c r="M372" s="19">
        <v>2.7E-2</v>
      </c>
      <c r="N372" s="21">
        <v>60874.86</v>
      </c>
      <c r="O372" s="21">
        <v>47025.78</v>
      </c>
      <c r="P372" s="26">
        <v>13849.08</v>
      </c>
    </row>
    <row r="373" spans="1:16" x14ac:dyDescent="0.3">
      <c r="A373" s="25">
        <v>372</v>
      </c>
      <c r="B373" s="16" t="s">
        <v>46</v>
      </c>
      <c r="C373" s="16">
        <v>2024</v>
      </c>
      <c r="D373" s="16" t="s">
        <v>40</v>
      </c>
      <c r="E373" s="16" t="s">
        <v>32</v>
      </c>
      <c r="F373" s="16" t="s">
        <v>37</v>
      </c>
      <c r="G373" s="16">
        <v>45</v>
      </c>
      <c r="H373" s="16">
        <v>7891</v>
      </c>
      <c r="I373" s="16">
        <v>635.70000000000005</v>
      </c>
      <c r="J373" s="19">
        <v>0.70199999999999996</v>
      </c>
      <c r="K373" s="16">
        <v>82.6</v>
      </c>
      <c r="L373" s="19">
        <v>1</v>
      </c>
      <c r="M373" s="19">
        <v>6.0000000000000001E-3</v>
      </c>
      <c r="N373" s="21">
        <v>72311.679999999993</v>
      </c>
      <c r="O373" s="21">
        <v>46756.79</v>
      </c>
      <c r="P373" s="26">
        <v>25554.89</v>
      </c>
    </row>
    <row r="374" spans="1:16" x14ac:dyDescent="0.3">
      <c r="A374" s="25">
        <v>373</v>
      </c>
      <c r="B374" s="16" t="s">
        <v>46</v>
      </c>
      <c r="C374" s="16">
        <v>2024</v>
      </c>
      <c r="D374" s="16" t="s">
        <v>40</v>
      </c>
      <c r="E374" s="16" t="s">
        <v>30</v>
      </c>
      <c r="F374" s="16" t="s">
        <v>37</v>
      </c>
      <c r="G374" s="16">
        <v>46</v>
      </c>
      <c r="H374" s="16">
        <v>7474</v>
      </c>
      <c r="I374" s="16">
        <v>609</v>
      </c>
      <c r="J374" s="19">
        <v>0.70299999999999996</v>
      </c>
      <c r="K374" s="16">
        <v>86.6</v>
      </c>
      <c r="L374" s="19">
        <v>0.88500000000000001</v>
      </c>
      <c r="M374" s="19">
        <v>0.04</v>
      </c>
      <c r="N374" s="21">
        <v>84381.42</v>
      </c>
      <c r="O374" s="21">
        <v>59453.89</v>
      </c>
      <c r="P374" s="26">
        <v>24927.53</v>
      </c>
    </row>
    <row r="375" spans="1:16" x14ac:dyDescent="0.3">
      <c r="A375" s="25">
        <v>374</v>
      </c>
      <c r="B375" s="16" t="s">
        <v>46</v>
      </c>
      <c r="C375" s="16">
        <v>2024</v>
      </c>
      <c r="D375" s="16" t="s">
        <v>41</v>
      </c>
      <c r="E375" s="16" t="s">
        <v>32</v>
      </c>
      <c r="F375" s="16" t="s">
        <v>28</v>
      </c>
      <c r="G375" s="16">
        <v>73</v>
      </c>
      <c r="H375" s="16">
        <v>10549</v>
      </c>
      <c r="I375" s="16">
        <v>352.4</v>
      </c>
      <c r="J375" s="19">
        <v>0.752</v>
      </c>
      <c r="K375" s="16">
        <v>76.099999999999994</v>
      </c>
      <c r="L375" s="19">
        <v>0.77600000000000002</v>
      </c>
      <c r="M375" s="19">
        <v>2.8000000000000001E-2</v>
      </c>
      <c r="N375" s="21">
        <v>135649.89000000001</v>
      </c>
      <c r="O375" s="21">
        <v>100101.64</v>
      </c>
      <c r="P375" s="26">
        <v>35548.25</v>
      </c>
    </row>
    <row r="376" spans="1:16" x14ac:dyDescent="0.3">
      <c r="A376" s="25">
        <v>375</v>
      </c>
      <c r="B376" s="16" t="s">
        <v>46</v>
      </c>
      <c r="C376" s="16">
        <v>2024</v>
      </c>
      <c r="D376" s="16" t="s">
        <v>41</v>
      </c>
      <c r="E376" s="16" t="s">
        <v>31</v>
      </c>
      <c r="F376" s="16" t="s">
        <v>28</v>
      </c>
      <c r="G376" s="16">
        <v>45</v>
      </c>
      <c r="H376" s="16">
        <v>6956</v>
      </c>
      <c r="I376" s="16">
        <v>415.8</v>
      </c>
      <c r="J376" s="19">
        <v>0.88200000000000001</v>
      </c>
      <c r="K376" s="16">
        <v>98</v>
      </c>
      <c r="L376" s="19">
        <v>0.89400000000000002</v>
      </c>
      <c r="M376" s="19">
        <v>2.4E-2</v>
      </c>
      <c r="N376" s="21">
        <v>73262.429999999993</v>
      </c>
      <c r="O376" s="21">
        <v>50453.19</v>
      </c>
      <c r="P376" s="26">
        <v>22809.24</v>
      </c>
    </row>
    <row r="377" spans="1:16" x14ac:dyDescent="0.3">
      <c r="A377" s="25">
        <v>376</v>
      </c>
      <c r="B377" s="16" t="s">
        <v>46</v>
      </c>
      <c r="C377" s="16">
        <v>2024</v>
      </c>
      <c r="D377" s="16" t="s">
        <v>41</v>
      </c>
      <c r="E377" s="16" t="s">
        <v>27</v>
      </c>
      <c r="F377" s="16" t="s">
        <v>29</v>
      </c>
      <c r="G377" s="16">
        <v>34</v>
      </c>
      <c r="H377" s="16">
        <v>5025</v>
      </c>
      <c r="I377" s="16">
        <v>363</v>
      </c>
      <c r="J377" s="19">
        <v>0.65200000000000002</v>
      </c>
      <c r="K377" s="16">
        <v>83.6</v>
      </c>
      <c r="L377" s="19">
        <v>0.97099999999999997</v>
      </c>
      <c r="M377" s="19">
        <v>1.2999999999999999E-2</v>
      </c>
      <c r="N377" s="21">
        <v>55300.46</v>
      </c>
      <c r="O377" s="21">
        <v>36608.089999999997</v>
      </c>
      <c r="P377" s="26">
        <v>18692.37</v>
      </c>
    </row>
    <row r="378" spans="1:16" x14ac:dyDescent="0.3">
      <c r="A378" s="25">
        <v>377</v>
      </c>
      <c r="B378" s="16" t="s">
        <v>46</v>
      </c>
      <c r="C378" s="16">
        <v>2024</v>
      </c>
      <c r="D378" s="16" t="s">
        <v>41</v>
      </c>
      <c r="E378" s="16" t="s">
        <v>35</v>
      </c>
      <c r="F378" s="16" t="s">
        <v>29</v>
      </c>
      <c r="G378" s="16">
        <v>17</v>
      </c>
      <c r="H378" s="16">
        <v>2986</v>
      </c>
      <c r="I378" s="16">
        <v>272.89999999999998</v>
      </c>
      <c r="J378" s="19">
        <v>0.63100000000000001</v>
      </c>
      <c r="K378" s="16">
        <v>79.099999999999994</v>
      </c>
      <c r="L378" s="19">
        <v>0.996</v>
      </c>
      <c r="M378" s="19">
        <v>1.7000000000000001E-2</v>
      </c>
      <c r="N378" s="21">
        <v>30899.26</v>
      </c>
      <c r="O378" s="21">
        <v>20567.560000000001</v>
      </c>
      <c r="P378" s="26">
        <v>10331.700000000001</v>
      </c>
    </row>
    <row r="379" spans="1:16" x14ac:dyDescent="0.3">
      <c r="A379" s="25">
        <v>378</v>
      </c>
      <c r="B379" s="16" t="s">
        <v>46</v>
      </c>
      <c r="C379" s="16">
        <v>2024</v>
      </c>
      <c r="D379" s="16" t="s">
        <v>41</v>
      </c>
      <c r="E379" s="16" t="s">
        <v>32</v>
      </c>
      <c r="F379" s="16" t="s">
        <v>33</v>
      </c>
      <c r="G379" s="16">
        <v>27</v>
      </c>
      <c r="H379" s="16">
        <v>2786</v>
      </c>
      <c r="I379" s="16">
        <v>447.6</v>
      </c>
      <c r="J379" s="19">
        <v>0.79700000000000004</v>
      </c>
      <c r="K379" s="16">
        <v>90.6</v>
      </c>
      <c r="L379" s="19">
        <v>0.89900000000000002</v>
      </c>
      <c r="M379" s="19">
        <v>1.7999999999999999E-2</v>
      </c>
      <c r="N379" s="21">
        <v>47249.77</v>
      </c>
      <c r="O379" s="21">
        <v>36195.599999999999</v>
      </c>
      <c r="P379" s="26">
        <v>11054.17</v>
      </c>
    </row>
    <row r="380" spans="1:16" x14ac:dyDescent="0.3">
      <c r="A380" s="25">
        <v>379</v>
      </c>
      <c r="B380" s="16" t="s">
        <v>46</v>
      </c>
      <c r="C380" s="16">
        <v>2024</v>
      </c>
      <c r="D380" s="16" t="s">
        <v>41</v>
      </c>
      <c r="E380" s="16" t="s">
        <v>27</v>
      </c>
      <c r="F380" s="16" t="s">
        <v>33</v>
      </c>
      <c r="G380" s="16">
        <v>20</v>
      </c>
      <c r="H380" s="16">
        <v>3319</v>
      </c>
      <c r="I380" s="16">
        <v>517.29999999999995</v>
      </c>
      <c r="J380" s="19">
        <v>0.71499999999999997</v>
      </c>
      <c r="K380" s="16">
        <v>91.5</v>
      </c>
      <c r="L380" s="19">
        <v>0.89400000000000002</v>
      </c>
      <c r="M380" s="19">
        <v>4.8000000000000001E-2</v>
      </c>
      <c r="N380" s="21">
        <v>37647.68</v>
      </c>
      <c r="O380" s="21">
        <v>26975.09</v>
      </c>
      <c r="P380" s="26">
        <v>10672.59</v>
      </c>
    </row>
    <row r="381" spans="1:16" x14ac:dyDescent="0.3">
      <c r="A381" s="25">
        <v>380</v>
      </c>
      <c r="B381" s="16" t="s">
        <v>46</v>
      </c>
      <c r="C381" s="16">
        <v>2024</v>
      </c>
      <c r="D381" s="16" t="s">
        <v>41</v>
      </c>
      <c r="E381" s="16" t="s">
        <v>34</v>
      </c>
      <c r="F381" s="16" t="s">
        <v>33</v>
      </c>
      <c r="G381" s="16">
        <v>46</v>
      </c>
      <c r="H381" s="16">
        <v>8013</v>
      </c>
      <c r="I381" s="16">
        <v>488.8</v>
      </c>
      <c r="J381" s="19">
        <v>0.67900000000000005</v>
      </c>
      <c r="K381" s="16">
        <v>85.5</v>
      </c>
      <c r="L381" s="19">
        <v>0.92</v>
      </c>
      <c r="M381" s="19">
        <v>3.4000000000000002E-2</v>
      </c>
      <c r="N381" s="21">
        <v>88377.03</v>
      </c>
      <c r="O381" s="21">
        <v>67509.429999999993</v>
      </c>
      <c r="P381" s="26">
        <v>20867.599999999999</v>
      </c>
    </row>
    <row r="382" spans="1:16" x14ac:dyDescent="0.3">
      <c r="A382" s="25">
        <v>381</v>
      </c>
      <c r="B382" s="16" t="s">
        <v>46</v>
      </c>
      <c r="C382" s="16">
        <v>2024</v>
      </c>
      <c r="D382" s="16" t="s">
        <v>41</v>
      </c>
      <c r="E382" s="16" t="s">
        <v>31</v>
      </c>
      <c r="F382" s="16" t="s">
        <v>33</v>
      </c>
      <c r="G382" s="16">
        <v>39</v>
      </c>
      <c r="H382" s="16">
        <v>5641</v>
      </c>
      <c r="I382" s="16">
        <v>510.5</v>
      </c>
      <c r="J382" s="19">
        <v>0.80800000000000005</v>
      </c>
      <c r="K382" s="16">
        <v>83.4</v>
      </c>
      <c r="L382" s="19">
        <v>0.89</v>
      </c>
      <c r="M382" s="19">
        <v>1.4E-2</v>
      </c>
      <c r="N382" s="21">
        <v>92822.16</v>
      </c>
      <c r="O382" s="21">
        <v>60903.06</v>
      </c>
      <c r="P382" s="26">
        <v>31919.1</v>
      </c>
    </row>
    <row r="383" spans="1:16" x14ac:dyDescent="0.3">
      <c r="A383" s="25">
        <v>382</v>
      </c>
      <c r="B383" s="16" t="s">
        <v>46</v>
      </c>
      <c r="C383" s="16">
        <v>2024</v>
      </c>
      <c r="D383" s="16" t="s">
        <v>41</v>
      </c>
      <c r="E383" s="16" t="s">
        <v>35</v>
      </c>
      <c r="F383" s="16" t="s">
        <v>33</v>
      </c>
      <c r="G383" s="16">
        <v>43</v>
      </c>
      <c r="H383" s="16">
        <v>6668</v>
      </c>
      <c r="I383" s="16">
        <v>433.1</v>
      </c>
      <c r="J383" s="19">
        <v>0.73399999999999999</v>
      </c>
      <c r="K383" s="16">
        <v>86.5</v>
      </c>
      <c r="L383" s="19">
        <v>0.876</v>
      </c>
      <c r="M383" s="19">
        <v>1.6E-2</v>
      </c>
      <c r="N383" s="21">
        <v>93928.06</v>
      </c>
      <c r="O383" s="21">
        <v>66732.740000000005</v>
      </c>
      <c r="P383" s="26">
        <v>27195.32</v>
      </c>
    </row>
    <row r="384" spans="1:16" x14ac:dyDescent="0.3">
      <c r="A384" s="25">
        <v>383</v>
      </c>
      <c r="B384" s="16" t="s">
        <v>46</v>
      </c>
      <c r="C384" s="16">
        <v>2024</v>
      </c>
      <c r="D384" s="16" t="s">
        <v>41</v>
      </c>
      <c r="E384" s="16" t="s">
        <v>34</v>
      </c>
      <c r="F384" s="16" t="s">
        <v>36</v>
      </c>
      <c r="G384" s="16">
        <v>57</v>
      </c>
      <c r="H384" s="16">
        <v>9210</v>
      </c>
      <c r="I384" s="16">
        <v>945.6</v>
      </c>
      <c r="J384" s="19">
        <v>0.67700000000000005</v>
      </c>
      <c r="K384" s="16">
        <v>81.5</v>
      </c>
      <c r="L384" s="19">
        <v>0.89300000000000002</v>
      </c>
      <c r="M384" s="19">
        <v>3.4000000000000002E-2</v>
      </c>
      <c r="N384" s="21">
        <v>100948.87</v>
      </c>
      <c r="O384" s="21">
        <v>67953.490000000005</v>
      </c>
      <c r="P384" s="26">
        <v>32995.379999999997</v>
      </c>
    </row>
    <row r="385" spans="1:16" x14ac:dyDescent="0.3">
      <c r="A385" s="25">
        <v>384</v>
      </c>
      <c r="B385" s="16" t="s">
        <v>46</v>
      </c>
      <c r="C385" s="16">
        <v>2024</v>
      </c>
      <c r="D385" s="16" t="s">
        <v>41</v>
      </c>
      <c r="E385" s="16" t="s">
        <v>31</v>
      </c>
      <c r="F385" s="16" t="s">
        <v>36</v>
      </c>
      <c r="G385" s="16">
        <v>53</v>
      </c>
      <c r="H385" s="16">
        <v>7854</v>
      </c>
      <c r="I385" s="16">
        <v>894.7</v>
      </c>
      <c r="J385" s="19">
        <v>0.70399999999999996</v>
      </c>
      <c r="K385" s="16">
        <v>79.5</v>
      </c>
      <c r="L385" s="19">
        <v>0.98099999999999998</v>
      </c>
      <c r="M385" s="19">
        <v>1.2E-2</v>
      </c>
      <c r="N385" s="21">
        <v>105005.77</v>
      </c>
      <c r="O385" s="21">
        <v>81511.66</v>
      </c>
      <c r="P385" s="26">
        <v>23494.11</v>
      </c>
    </row>
    <row r="386" spans="1:16" x14ac:dyDescent="0.3">
      <c r="A386" s="25">
        <v>385</v>
      </c>
      <c r="B386" s="16" t="s">
        <v>46</v>
      </c>
      <c r="C386" s="16">
        <v>2024</v>
      </c>
      <c r="D386" s="16" t="s">
        <v>41</v>
      </c>
      <c r="E386" s="16" t="s">
        <v>32</v>
      </c>
      <c r="F386" s="16" t="s">
        <v>37</v>
      </c>
      <c r="G386" s="16">
        <v>60</v>
      </c>
      <c r="H386" s="16">
        <v>9375</v>
      </c>
      <c r="I386" s="16">
        <v>633</v>
      </c>
      <c r="J386" s="19">
        <v>0.61399999999999999</v>
      </c>
      <c r="K386" s="16">
        <v>81.099999999999994</v>
      </c>
      <c r="L386" s="19">
        <v>0.83499999999999996</v>
      </c>
      <c r="M386" s="19">
        <v>3.4000000000000002E-2</v>
      </c>
      <c r="N386" s="21">
        <v>124424.19</v>
      </c>
      <c r="O386" s="21">
        <v>91922</v>
      </c>
      <c r="P386" s="26">
        <v>32502.19</v>
      </c>
    </row>
    <row r="387" spans="1:16" x14ac:dyDescent="0.3">
      <c r="A387" s="25">
        <v>386</v>
      </c>
      <c r="B387" s="16" t="s">
        <v>47</v>
      </c>
      <c r="C387" s="16">
        <v>2024</v>
      </c>
      <c r="D387" s="16" t="s">
        <v>26</v>
      </c>
      <c r="E387" s="16" t="s">
        <v>34</v>
      </c>
      <c r="F387" s="16" t="s">
        <v>28</v>
      </c>
      <c r="G387" s="16">
        <v>70</v>
      </c>
      <c r="H387" s="16">
        <v>11655</v>
      </c>
      <c r="I387" s="16">
        <v>487.9</v>
      </c>
      <c r="J387" s="19">
        <v>0.73899999999999999</v>
      </c>
      <c r="K387" s="16">
        <v>82.7</v>
      </c>
      <c r="L387" s="19">
        <v>0.88300000000000001</v>
      </c>
      <c r="M387" s="19">
        <v>2E-3</v>
      </c>
      <c r="N387" s="21">
        <v>89197.94</v>
      </c>
      <c r="O387" s="21">
        <v>60558.27</v>
      </c>
      <c r="P387" s="26">
        <v>28639.67</v>
      </c>
    </row>
    <row r="388" spans="1:16" x14ac:dyDescent="0.3">
      <c r="A388" s="25">
        <v>387</v>
      </c>
      <c r="B388" s="16" t="s">
        <v>47</v>
      </c>
      <c r="C388" s="16">
        <v>2024</v>
      </c>
      <c r="D388" s="16" t="s">
        <v>26</v>
      </c>
      <c r="E388" s="16" t="s">
        <v>31</v>
      </c>
      <c r="F388" s="16" t="s">
        <v>28</v>
      </c>
      <c r="G388" s="16">
        <v>45</v>
      </c>
      <c r="H388" s="16">
        <v>4401</v>
      </c>
      <c r="I388" s="16">
        <v>430.2</v>
      </c>
      <c r="J388" s="19">
        <v>0.80900000000000005</v>
      </c>
      <c r="K388" s="16">
        <v>88.7</v>
      </c>
      <c r="L388" s="19">
        <v>0.89200000000000002</v>
      </c>
      <c r="M388" s="19">
        <v>3.2000000000000001E-2</v>
      </c>
      <c r="N388" s="21">
        <v>69483.899999999994</v>
      </c>
      <c r="O388" s="21">
        <v>48362</v>
      </c>
      <c r="P388" s="26">
        <v>21121.9</v>
      </c>
    </row>
    <row r="389" spans="1:16" x14ac:dyDescent="0.3">
      <c r="A389" s="25">
        <v>388</v>
      </c>
      <c r="B389" s="16" t="s">
        <v>47</v>
      </c>
      <c r="C389" s="16">
        <v>2024</v>
      </c>
      <c r="D389" s="16" t="s">
        <v>26</v>
      </c>
      <c r="E389" s="16" t="s">
        <v>32</v>
      </c>
      <c r="F389" s="16" t="s">
        <v>29</v>
      </c>
      <c r="G389" s="16">
        <v>37</v>
      </c>
      <c r="H389" s="16">
        <v>5642</v>
      </c>
      <c r="I389" s="16">
        <v>297.60000000000002</v>
      </c>
      <c r="J389" s="19">
        <v>0.71799999999999997</v>
      </c>
      <c r="K389" s="16">
        <v>79.400000000000006</v>
      </c>
      <c r="L389" s="19">
        <v>0.95899999999999996</v>
      </c>
      <c r="M389" s="19">
        <v>2.1000000000000001E-2</v>
      </c>
      <c r="N389" s="21">
        <v>44211.94</v>
      </c>
      <c r="O389" s="21">
        <v>28854.44</v>
      </c>
      <c r="P389" s="26">
        <v>15357.5</v>
      </c>
    </row>
    <row r="390" spans="1:16" x14ac:dyDescent="0.3">
      <c r="A390" s="25">
        <v>389</v>
      </c>
      <c r="B390" s="16" t="s">
        <v>47</v>
      </c>
      <c r="C390" s="16">
        <v>2024</v>
      </c>
      <c r="D390" s="16" t="s">
        <v>26</v>
      </c>
      <c r="E390" s="16" t="s">
        <v>27</v>
      </c>
      <c r="F390" s="16" t="s">
        <v>29</v>
      </c>
      <c r="G390" s="16">
        <v>35</v>
      </c>
      <c r="H390" s="16">
        <v>5234</v>
      </c>
      <c r="I390" s="16">
        <v>300.5</v>
      </c>
      <c r="J390" s="19">
        <v>0.67900000000000005</v>
      </c>
      <c r="K390" s="16">
        <v>77.7</v>
      </c>
      <c r="L390" s="19">
        <v>0.874</v>
      </c>
      <c r="M390" s="19">
        <v>0.01</v>
      </c>
      <c r="N390" s="21">
        <v>45938.81</v>
      </c>
      <c r="O390" s="21">
        <v>29898.27</v>
      </c>
      <c r="P390" s="26">
        <v>16040.54</v>
      </c>
    </row>
    <row r="391" spans="1:16" x14ac:dyDescent="0.3">
      <c r="A391" s="25">
        <v>390</v>
      </c>
      <c r="B391" s="16" t="s">
        <v>47</v>
      </c>
      <c r="C391" s="16">
        <v>2024</v>
      </c>
      <c r="D391" s="16" t="s">
        <v>26</v>
      </c>
      <c r="E391" s="16" t="s">
        <v>31</v>
      </c>
      <c r="F391" s="16" t="s">
        <v>29</v>
      </c>
      <c r="G391" s="16">
        <v>21</v>
      </c>
      <c r="H391" s="16">
        <v>3045</v>
      </c>
      <c r="I391" s="16">
        <v>280.60000000000002</v>
      </c>
      <c r="J391" s="19">
        <v>0.59199999999999997</v>
      </c>
      <c r="K391" s="16">
        <v>78.099999999999994</v>
      </c>
      <c r="L391" s="19">
        <v>0.89900000000000002</v>
      </c>
      <c r="M391" s="19">
        <v>3.3000000000000002E-2</v>
      </c>
      <c r="N391" s="21">
        <v>23615.200000000001</v>
      </c>
      <c r="O391" s="21">
        <v>15318.38</v>
      </c>
      <c r="P391" s="26">
        <v>8296.82</v>
      </c>
    </row>
    <row r="392" spans="1:16" x14ac:dyDescent="0.3">
      <c r="A392" s="25">
        <v>391</v>
      </c>
      <c r="B392" s="16" t="s">
        <v>47</v>
      </c>
      <c r="C392" s="16">
        <v>2024</v>
      </c>
      <c r="D392" s="16" t="s">
        <v>26</v>
      </c>
      <c r="E392" s="16" t="s">
        <v>35</v>
      </c>
      <c r="F392" s="16" t="s">
        <v>29</v>
      </c>
      <c r="G392" s="16">
        <v>72</v>
      </c>
      <c r="H392" s="16">
        <v>10199</v>
      </c>
      <c r="I392" s="16">
        <v>311.10000000000002</v>
      </c>
      <c r="J392" s="19">
        <v>0.61899999999999999</v>
      </c>
      <c r="K392" s="16">
        <v>74.8</v>
      </c>
      <c r="L392" s="19">
        <v>0.871</v>
      </c>
      <c r="M392" s="19">
        <v>2.1999999999999999E-2</v>
      </c>
      <c r="N392" s="21">
        <v>84028.81</v>
      </c>
      <c r="O392" s="21">
        <v>58386.18</v>
      </c>
      <c r="P392" s="26">
        <v>25642.63</v>
      </c>
    </row>
    <row r="393" spans="1:16" x14ac:dyDescent="0.3">
      <c r="A393" s="25">
        <v>392</v>
      </c>
      <c r="B393" s="16" t="s">
        <v>47</v>
      </c>
      <c r="C393" s="16">
        <v>2024</v>
      </c>
      <c r="D393" s="16" t="s">
        <v>26</v>
      </c>
      <c r="E393" s="16" t="s">
        <v>32</v>
      </c>
      <c r="F393" s="16" t="s">
        <v>33</v>
      </c>
      <c r="G393" s="16">
        <v>38</v>
      </c>
      <c r="H393" s="16">
        <v>5579</v>
      </c>
      <c r="I393" s="16">
        <v>495.8</v>
      </c>
      <c r="J393" s="19">
        <v>0.75600000000000001</v>
      </c>
      <c r="K393" s="16">
        <v>90.4</v>
      </c>
      <c r="L393" s="19">
        <v>0.75700000000000001</v>
      </c>
      <c r="M393" s="19">
        <v>4.0000000000000001E-3</v>
      </c>
      <c r="N393" s="21">
        <v>45263.6</v>
      </c>
      <c r="O393" s="21">
        <v>34490.32</v>
      </c>
      <c r="P393" s="26">
        <v>10773.28</v>
      </c>
    </row>
    <row r="394" spans="1:16" x14ac:dyDescent="0.3">
      <c r="A394" s="25">
        <v>393</v>
      </c>
      <c r="B394" s="16" t="s">
        <v>47</v>
      </c>
      <c r="C394" s="16">
        <v>2024</v>
      </c>
      <c r="D394" s="16" t="s">
        <v>26</v>
      </c>
      <c r="E394" s="16" t="s">
        <v>27</v>
      </c>
      <c r="F394" s="16" t="s">
        <v>33</v>
      </c>
      <c r="G394" s="16">
        <v>61</v>
      </c>
      <c r="H394" s="16">
        <v>7261</v>
      </c>
      <c r="I394" s="16">
        <v>359.7</v>
      </c>
      <c r="J394" s="19">
        <v>0.77400000000000002</v>
      </c>
      <c r="K394" s="16">
        <v>85.2</v>
      </c>
      <c r="L394" s="19">
        <v>0.84099999999999997</v>
      </c>
      <c r="M394" s="19">
        <v>1.7000000000000001E-2</v>
      </c>
      <c r="N394" s="21">
        <v>68806.539999999994</v>
      </c>
      <c r="O394" s="21">
        <v>47118.37</v>
      </c>
      <c r="P394" s="26">
        <v>21688.17</v>
      </c>
    </row>
    <row r="395" spans="1:16" x14ac:dyDescent="0.3">
      <c r="A395" s="25">
        <v>394</v>
      </c>
      <c r="B395" s="16" t="s">
        <v>47</v>
      </c>
      <c r="C395" s="16">
        <v>2024</v>
      </c>
      <c r="D395" s="16" t="s">
        <v>26</v>
      </c>
      <c r="E395" s="16" t="s">
        <v>30</v>
      </c>
      <c r="F395" s="16" t="s">
        <v>33</v>
      </c>
      <c r="G395" s="16">
        <v>46</v>
      </c>
      <c r="H395" s="16">
        <v>6275</v>
      </c>
      <c r="I395" s="16">
        <v>499.8</v>
      </c>
      <c r="J395" s="19">
        <v>0.56899999999999995</v>
      </c>
      <c r="K395" s="16">
        <v>79.7</v>
      </c>
      <c r="L395" s="19">
        <v>0.88500000000000001</v>
      </c>
      <c r="M395" s="19">
        <v>1.7000000000000001E-2</v>
      </c>
      <c r="N395" s="21">
        <v>44805.42</v>
      </c>
      <c r="O395" s="21">
        <v>34708.49</v>
      </c>
      <c r="P395" s="26">
        <v>10096.93</v>
      </c>
    </row>
    <row r="396" spans="1:16" x14ac:dyDescent="0.3">
      <c r="A396" s="25">
        <v>395</v>
      </c>
      <c r="B396" s="16" t="s">
        <v>47</v>
      </c>
      <c r="C396" s="16">
        <v>2024</v>
      </c>
      <c r="D396" s="16" t="s">
        <v>26</v>
      </c>
      <c r="E396" s="16" t="s">
        <v>34</v>
      </c>
      <c r="F396" s="16" t="s">
        <v>33</v>
      </c>
      <c r="G396" s="16">
        <v>56</v>
      </c>
      <c r="H396" s="16">
        <v>6361</v>
      </c>
      <c r="I396" s="16">
        <v>481.8</v>
      </c>
      <c r="J396" s="19">
        <v>0.77400000000000002</v>
      </c>
      <c r="K396" s="16">
        <v>93.3</v>
      </c>
      <c r="L396" s="19">
        <v>0.91900000000000004</v>
      </c>
      <c r="M396" s="19">
        <v>2.3E-2</v>
      </c>
      <c r="N396" s="21">
        <v>54847.6</v>
      </c>
      <c r="O396" s="21">
        <v>38685.75</v>
      </c>
      <c r="P396" s="26">
        <v>16161.85</v>
      </c>
    </row>
    <row r="397" spans="1:16" x14ac:dyDescent="0.3">
      <c r="A397" s="25">
        <v>396</v>
      </c>
      <c r="B397" s="16" t="s">
        <v>47</v>
      </c>
      <c r="C397" s="16">
        <v>2024</v>
      </c>
      <c r="D397" s="16" t="s">
        <v>26</v>
      </c>
      <c r="E397" s="16" t="s">
        <v>32</v>
      </c>
      <c r="F397" s="16" t="s">
        <v>36</v>
      </c>
      <c r="G397" s="16">
        <v>44</v>
      </c>
      <c r="H397" s="16">
        <v>7471</v>
      </c>
      <c r="I397" s="16">
        <v>845.1</v>
      </c>
      <c r="J397" s="19">
        <v>0.73099999999999998</v>
      </c>
      <c r="K397" s="16">
        <v>92.3</v>
      </c>
      <c r="L397" s="19">
        <v>0.91700000000000004</v>
      </c>
      <c r="M397" s="19">
        <v>3.2000000000000001E-2</v>
      </c>
      <c r="N397" s="21">
        <v>54964.83</v>
      </c>
      <c r="O397" s="21">
        <v>39454.559999999998</v>
      </c>
      <c r="P397" s="26">
        <v>15510.27</v>
      </c>
    </row>
    <row r="398" spans="1:16" x14ac:dyDescent="0.3">
      <c r="A398" s="25">
        <v>397</v>
      </c>
      <c r="B398" s="16" t="s">
        <v>47</v>
      </c>
      <c r="C398" s="16">
        <v>2024</v>
      </c>
      <c r="D398" s="16" t="s">
        <v>26</v>
      </c>
      <c r="E398" s="16" t="s">
        <v>30</v>
      </c>
      <c r="F398" s="16" t="s">
        <v>36</v>
      </c>
      <c r="G398" s="16">
        <v>39</v>
      </c>
      <c r="H398" s="16">
        <v>4956</v>
      </c>
      <c r="I398" s="16">
        <v>866</v>
      </c>
      <c r="J398" s="19">
        <v>0.58499999999999996</v>
      </c>
      <c r="K398" s="16">
        <v>82.6</v>
      </c>
      <c r="L398" s="19">
        <v>0.92100000000000004</v>
      </c>
      <c r="M398" s="19">
        <v>4.2999999999999997E-2</v>
      </c>
      <c r="N398" s="21">
        <v>49565.53</v>
      </c>
      <c r="O398" s="21">
        <v>33443.410000000003</v>
      </c>
      <c r="P398" s="26">
        <v>16122.12</v>
      </c>
    </row>
    <row r="399" spans="1:16" x14ac:dyDescent="0.3">
      <c r="A399" s="25">
        <v>398</v>
      </c>
      <c r="B399" s="16" t="s">
        <v>47</v>
      </c>
      <c r="C399" s="16">
        <v>2024</v>
      </c>
      <c r="D399" s="16" t="s">
        <v>26</v>
      </c>
      <c r="E399" s="16" t="s">
        <v>34</v>
      </c>
      <c r="F399" s="16" t="s">
        <v>36</v>
      </c>
      <c r="G399" s="16">
        <v>33</v>
      </c>
      <c r="H399" s="16">
        <v>4443</v>
      </c>
      <c r="I399" s="16">
        <v>831.3</v>
      </c>
      <c r="J399" s="19">
        <v>0.70199999999999996</v>
      </c>
      <c r="K399" s="16">
        <v>68.5</v>
      </c>
      <c r="L399" s="19">
        <v>0.90400000000000003</v>
      </c>
      <c r="M399" s="19">
        <v>3.4000000000000002E-2</v>
      </c>
      <c r="N399" s="21">
        <v>42579.43</v>
      </c>
      <c r="O399" s="21">
        <v>32281.55</v>
      </c>
      <c r="P399" s="26">
        <v>10297.879999999999</v>
      </c>
    </row>
    <row r="400" spans="1:16" x14ac:dyDescent="0.3">
      <c r="A400" s="25">
        <v>399</v>
      </c>
      <c r="B400" s="16" t="s">
        <v>47</v>
      </c>
      <c r="C400" s="16">
        <v>2024</v>
      </c>
      <c r="D400" s="16" t="s">
        <v>26</v>
      </c>
      <c r="E400" s="16" t="s">
        <v>35</v>
      </c>
      <c r="F400" s="16" t="s">
        <v>36</v>
      </c>
      <c r="G400" s="16">
        <v>48</v>
      </c>
      <c r="H400" s="16">
        <v>8023</v>
      </c>
      <c r="I400" s="16">
        <v>866.6</v>
      </c>
      <c r="J400" s="19">
        <v>0.78500000000000003</v>
      </c>
      <c r="K400" s="16">
        <v>82.5</v>
      </c>
      <c r="L400" s="19">
        <v>0.96</v>
      </c>
      <c r="M400" s="19">
        <v>1.9E-2</v>
      </c>
      <c r="N400" s="21">
        <v>60578.54</v>
      </c>
      <c r="O400" s="21">
        <v>39923.64</v>
      </c>
      <c r="P400" s="26">
        <v>20654.900000000001</v>
      </c>
    </row>
    <row r="401" spans="1:16" x14ac:dyDescent="0.3">
      <c r="A401" s="25">
        <v>400</v>
      </c>
      <c r="B401" s="16" t="s">
        <v>47</v>
      </c>
      <c r="C401" s="16">
        <v>2024</v>
      </c>
      <c r="D401" s="16" t="s">
        <v>26</v>
      </c>
      <c r="E401" s="16" t="s">
        <v>32</v>
      </c>
      <c r="F401" s="16" t="s">
        <v>37</v>
      </c>
      <c r="G401" s="16">
        <v>56</v>
      </c>
      <c r="H401" s="16">
        <v>7985</v>
      </c>
      <c r="I401" s="16">
        <v>657.6</v>
      </c>
      <c r="J401" s="19">
        <v>0.71</v>
      </c>
      <c r="K401" s="16">
        <v>81.5</v>
      </c>
      <c r="L401" s="19">
        <v>0.83299999999999996</v>
      </c>
      <c r="M401" s="19">
        <v>8.0000000000000002E-3</v>
      </c>
      <c r="N401" s="21">
        <v>77081.73</v>
      </c>
      <c r="O401" s="21">
        <v>56873.65</v>
      </c>
      <c r="P401" s="26">
        <v>20208.080000000002</v>
      </c>
    </row>
    <row r="402" spans="1:16" x14ac:dyDescent="0.3">
      <c r="A402" s="25">
        <v>401</v>
      </c>
      <c r="B402" s="16" t="s">
        <v>47</v>
      </c>
      <c r="C402" s="16">
        <v>2024</v>
      </c>
      <c r="D402" s="16" t="s">
        <v>38</v>
      </c>
      <c r="E402" s="16" t="s">
        <v>31</v>
      </c>
      <c r="F402" s="16" t="s">
        <v>28</v>
      </c>
      <c r="G402" s="16">
        <v>25</v>
      </c>
      <c r="H402" s="16">
        <v>2717</v>
      </c>
      <c r="I402" s="16">
        <v>431.6</v>
      </c>
      <c r="J402" s="19">
        <v>0.78300000000000003</v>
      </c>
      <c r="K402" s="16">
        <v>87.9</v>
      </c>
      <c r="L402" s="19">
        <v>0.94599999999999995</v>
      </c>
      <c r="M402" s="19">
        <v>2.1000000000000001E-2</v>
      </c>
      <c r="N402" s="21">
        <v>43182.18</v>
      </c>
      <c r="O402" s="21">
        <v>27384.95</v>
      </c>
      <c r="P402" s="26">
        <v>15797.23</v>
      </c>
    </row>
    <row r="403" spans="1:16" x14ac:dyDescent="0.3">
      <c r="A403" s="25">
        <v>402</v>
      </c>
      <c r="B403" s="16" t="s">
        <v>47</v>
      </c>
      <c r="C403" s="16">
        <v>2024</v>
      </c>
      <c r="D403" s="16" t="s">
        <v>38</v>
      </c>
      <c r="E403" s="16" t="s">
        <v>35</v>
      </c>
      <c r="F403" s="16" t="s">
        <v>28</v>
      </c>
      <c r="G403" s="16">
        <v>47</v>
      </c>
      <c r="H403" s="16">
        <v>6384</v>
      </c>
      <c r="I403" s="16">
        <v>387</v>
      </c>
      <c r="J403" s="19">
        <v>0.82099999999999995</v>
      </c>
      <c r="K403" s="16">
        <v>83.3</v>
      </c>
      <c r="L403" s="19">
        <v>0.873</v>
      </c>
      <c r="M403" s="19">
        <v>4.3999999999999997E-2</v>
      </c>
      <c r="N403" s="21">
        <v>66311</v>
      </c>
      <c r="O403" s="21">
        <v>51227.18</v>
      </c>
      <c r="P403" s="26">
        <v>15083.82</v>
      </c>
    </row>
    <row r="404" spans="1:16" x14ac:dyDescent="0.3">
      <c r="A404" s="25">
        <v>403</v>
      </c>
      <c r="B404" s="16" t="s">
        <v>47</v>
      </c>
      <c r="C404" s="16">
        <v>2024</v>
      </c>
      <c r="D404" s="16" t="s">
        <v>38</v>
      </c>
      <c r="E404" s="16" t="s">
        <v>34</v>
      </c>
      <c r="F404" s="16" t="s">
        <v>29</v>
      </c>
      <c r="G404" s="16">
        <v>29</v>
      </c>
      <c r="H404" s="16">
        <v>4359</v>
      </c>
      <c r="I404" s="16">
        <v>260.60000000000002</v>
      </c>
      <c r="J404" s="19">
        <v>0.60199999999999998</v>
      </c>
      <c r="K404" s="16">
        <v>78.900000000000006</v>
      </c>
      <c r="L404" s="19">
        <v>0.84199999999999997</v>
      </c>
      <c r="M404" s="19">
        <v>1.7999999999999999E-2</v>
      </c>
      <c r="N404" s="21">
        <v>37859.43</v>
      </c>
      <c r="O404" s="21">
        <v>25694.01</v>
      </c>
      <c r="P404" s="26">
        <v>12165.42</v>
      </c>
    </row>
    <row r="405" spans="1:16" x14ac:dyDescent="0.3">
      <c r="A405" s="25">
        <v>404</v>
      </c>
      <c r="B405" s="16" t="s">
        <v>47</v>
      </c>
      <c r="C405" s="16">
        <v>2024</v>
      </c>
      <c r="D405" s="16" t="s">
        <v>38</v>
      </c>
      <c r="E405" s="16" t="s">
        <v>35</v>
      </c>
      <c r="F405" s="16" t="s">
        <v>29</v>
      </c>
      <c r="G405" s="16">
        <v>27</v>
      </c>
      <c r="H405" s="16">
        <v>3550</v>
      </c>
      <c r="I405" s="16">
        <v>361.3</v>
      </c>
      <c r="J405" s="19">
        <v>0.65200000000000002</v>
      </c>
      <c r="K405" s="16">
        <v>81.5</v>
      </c>
      <c r="L405" s="19">
        <v>0.98399999999999999</v>
      </c>
      <c r="M405" s="19">
        <v>3.3000000000000002E-2</v>
      </c>
      <c r="N405" s="21">
        <v>29092.22</v>
      </c>
      <c r="O405" s="21">
        <v>19493.34</v>
      </c>
      <c r="P405" s="26">
        <v>9598.8799999999992</v>
      </c>
    </row>
    <row r="406" spans="1:16" x14ac:dyDescent="0.3">
      <c r="A406" s="25">
        <v>405</v>
      </c>
      <c r="B406" s="16" t="s">
        <v>47</v>
      </c>
      <c r="C406" s="16">
        <v>2024</v>
      </c>
      <c r="D406" s="16" t="s">
        <v>38</v>
      </c>
      <c r="E406" s="16" t="s">
        <v>27</v>
      </c>
      <c r="F406" s="16" t="s">
        <v>33</v>
      </c>
      <c r="G406" s="16">
        <v>44</v>
      </c>
      <c r="H406" s="16">
        <v>6424</v>
      </c>
      <c r="I406" s="16">
        <v>528.79999999999995</v>
      </c>
      <c r="J406" s="19">
        <v>0.67500000000000004</v>
      </c>
      <c r="K406" s="16">
        <v>82.2</v>
      </c>
      <c r="L406" s="19">
        <v>0.86399999999999999</v>
      </c>
      <c r="M406" s="19">
        <v>4.2000000000000003E-2</v>
      </c>
      <c r="N406" s="21">
        <v>63607.95</v>
      </c>
      <c r="O406" s="21">
        <v>43979.31</v>
      </c>
      <c r="P406" s="26">
        <v>19628.64</v>
      </c>
    </row>
    <row r="407" spans="1:16" x14ac:dyDescent="0.3">
      <c r="A407" s="25">
        <v>406</v>
      </c>
      <c r="B407" s="16" t="s">
        <v>47</v>
      </c>
      <c r="C407" s="16">
        <v>2024</v>
      </c>
      <c r="D407" s="16" t="s">
        <v>38</v>
      </c>
      <c r="E407" s="16" t="s">
        <v>30</v>
      </c>
      <c r="F407" s="16" t="s">
        <v>33</v>
      </c>
      <c r="G407" s="16">
        <v>55</v>
      </c>
      <c r="H407" s="16">
        <v>6966</v>
      </c>
      <c r="I407" s="16">
        <v>510.2</v>
      </c>
      <c r="J407" s="19">
        <v>0.752</v>
      </c>
      <c r="K407" s="16">
        <v>88.4</v>
      </c>
      <c r="L407" s="19">
        <v>0.8</v>
      </c>
      <c r="M407" s="19">
        <v>2.5999999999999999E-2</v>
      </c>
      <c r="N407" s="21">
        <v>81613.789999999994</v>
      </c>
      <c r="O407" s="21">
        <v>56795.82</v>
      </c>
      <c r="P407" s="26">
        <v>24817.97</v>
      </c>
    </row>
    <row r="408" spans="1:16" x14ac:dyDescent="0.3">
      <c r="A408" s="25">
        <v>407</v>
      </c>
      <c r="B408" s="16" t="s">
        <v>47</v>
      </c>
      <c r="C408" s="16">
        <v>2024</v>
      </c>
      <c r="D408" s="16" t="s">
        <v>38</v>
      </c>
      <c r="E408" s="16" t="s">
        <v>31</v>
      </c>
      <c r="F408" s="16" t="s">
        <v>33</v>
      </c>
      <c r="G408" s="16">
        <v>47</v>
      </c>
      <c r="H408" s="16">
        <v>7786</v>
      </c>
      <c r="I408" s="16">
        <v>493</v>
      </c>
      <c r="J408" s="19">
        <v>0.877</v>
      </c>
      <c r="K408" s="16">
        <v>76.2</v>
      </c>
      <c r="L408" s="19">
        <v>0.90100000000000002</v>
      </c>
      <c r="M408" s="19">
        <v>3.1E-2</v>
      </c>
      <c r="N408" s="21">
        <v>59621.81</v>
      </c>
      <c r="O408" s="21">
        <v>40044.959999999999</v>
      </c>
      <c r="P408" s="26">
        <v>19576.849999999999</v>
      </c>
    </row>
    <row r="409" spans="1:16" x14ac:dyDescent="0.3">
      <c r="A409" s="25">
        <v>408</v>
      </c>
      <c r="B409" s="16" t="s">
        <v>47</v>
      </c>
      <c r="C409" s="16">
        <v>2024</v>
      </c>
      <c r="D409" s="16" t="s">
        <v>38</v>
      </c>
      <c r="E409" s="16" t="s">
        <v>30</v>
      </c>
      <c r="F409" s="16" t="s">
        <v>36</v>
      </c>
      <c r="G409" s="16">
        <v>51</v>
      </c>
      <c r="H409" s="16">
        <v>8223</v>
      </c>
      <c r="I409" s="16">
        <v>909.1</v>
      </c>
      <c r="J409" s="19">
        <v>0.68100000000000005</v>
      </c>
      <c r="K409" s="16">
        <v>88</v>
      </c>
      <c r="L409" s="19">
        <v>0.91800000000000004</v>
      </c>
      <c r="M409" s="19">
        <v>3.9E-2</v>
      </c>
      <c r="N409" s="21">
        <v>58588.27</v>
      </c>
      <c r="O409" s="21">
        <v>44145.79</v>
      </c>
      <c r="P409" s="26">
        <v>14442.48</v>
      </c>
    </row>
    <row r="410" spans="1:16" x14ac:dyDescent="0.3">
      <c r="A410" s="25">
        <v>409</v>
      </c>
      <c r="B410" s="16" t="s">
        <v>47</v>
      </c>
      <c r="C410" s="16">
        <v>2024</v>
      </c>
      <c r="D410" s="16" t="s">
        <v>38</v>
      </c>
      <c r="E410" s="16" t="s">
        <v>34</v>
      </c>
      <c r="F410" s="16" t="s">
        <v>36</v>
      </c>
      <c r="G410" s="16">
        <v>36</v>
      </c>
      <c r="H410" s="16">
        <v>6725</v>
      </c>
      <c r="I410" s="16">
        <v>879</v>
      </c>
      <c r="J410" s="19">
        <v>0.70199999999999996</v>
      </c>
      <c r="K410" s="16">
        <v>81.599999999999994</v>
      </c>
      <c r="L410" s="19">
        <v>0.79500000000000004</v>
      </c>
      <c r="M410" s="19">
        <v>3.4000000000000002E-2</v>
      </c>
      <c r="N410" s="21">
        <v>44067.17</v>
      </c>
      <c r="O410" s="21">
        <v>31167.32</v>
      </c>
      <c r="P410" s="26">
        <v>12899.85</v>
      </c>
    </row>
    <row r="411" spans="1:16" x14ac:dyDescent="0.3">
      <c r="A411" s="25">
        <v>410</v>
      </c>
      <c r="B411" s="16" t="s">
        <v>47</v>
      </c>
      <c r="C411" s="16">
        <v>2024</v>
      </c>
      <c r="D411" s="16" t="s">
        <v>38</v>
      </c>
      <c r="E411" s="16" t="s">
        <v>35</v>
      </c>
      <c r="F411" s="16" t="s">
        <v>36</v>
      </c>
      <c r="G411" s="16">
        <v>37</v>
      </c>
      <c r="H411" s="16">
        <v>5776</v>
      </c>
      <c r="I411" s="16">
        <v>903.2</v>
      </c>
      <c r="J411" s="19">
        <v>0.76300000000000001</v>
      </c>
      <c r="K411" s="16">
        <v>80.2</v>
      </c>
      <c r="L411" s="19">
        <v>0.95299999999999996</v>
      </c>
      <c r="M411" s="19">
        <v>3.1E-2</v>
      </c>
      <c r="N411" s="21">
        <v>54486.12</v>
      </c>
      <c r="O411" s="21">
        <v>41001.339999999997</v>
      </c>
      <c r="P411" s="26">
        <v>13484.78</v>
      </c>
    </row>
    <row r="412" spans="1:16" x14ac:dyDescent="0.3">
      <c r="A412" s="25">
        <v>411</v>
      </c>
      <c r="B412" s="16" t="s">
        <v>47</v>
      </c>
      <c r="C412" s="16">
        <v>2024</v>
      </c>
      <c r="D412" s="16" t="s">
        <v>38</v>
      </c>
      <c r="E412" s="16" t="s">
        <v>32</v>
      </c>
      <c r="F412" s="16" t="s">
        <v>37</v>
      </c>
      <c r="G412" s="16">
        <v>38</v>
      </c>
      <c r="H412" s="16">
        <v>5190</v>
      </c>
      <c r="I412" s="16">
        <v>683</v>
      </c>
      <c r="J412" s="19">
        <v>0.67100000000000004</v>
      </c>
      <c r="K412" s="16">
        <v>87.6</v>
      </c>
      <c r="L412" s="19">
        <v>0.86299999999999999</v>
      </c>
      <c r="M412" s="19">
        <v>3.5999999999999997E-2</v>
      </c>
      <c r="N412" s="21">
        <v>50954.57</v>
      </c>
      <c r="O412" s="21">
        <v>37591.589999999997</v>
      </c>
      <c r="P412" s="26">
        <v>13362.98</v>
      </c>
    </row>
    <row r="413" spans="1:16" x14ac:dyDescent="0.3">
      <c r="A413" s="25">
        <v>412</v>
      </c>
      <c r="B413" s="16" t="s">
        <v>47</v>
      </c>
      <c r="C413" s="16">
        <v>2024</v>
      </c>
      <c r="D413" s="16" t="s">
        <v>38</v>
      </c>
      <c r="E413" s="16" t="s">
        <v>30</v>
      </c>
      <c r="F413" s="16" t="s">
        <v>37</v>
      </c>
      <c r="G413" s="16">
        <v>31</v>
      </c>
      <c r="H413" s="16">
        <v>4035</v>
      </c>
      <c r="I413" s="16">
        <v>703.2</v>
      </c>
      <c r="J413" s="19">
        <v>0.73699999999999999</v>
      </c>
      <c r="K413" s="16">
        <v>84.4</v>
      </c>
      <c r="L413" s="19">
        <v>0.84699999999999998</v>
      </c>
      <c r="M413" s="19">
        <v>4.2999999999999997E-2</v>
      </c>
      <c r="N413" s="21">
        <v>44432.62</v>
      </c>
      <c r="O413" s="21">
        <v>32170.55</v>
      </c>
      <c r="P413" s="26">
        <v>12262.07</v>
      </c>
    </row>
    <row r="414" spans="1:16" x14ac:dyDescent="0.3">
      <c r="A414" s="25">
        <v>413</v>
      </c>
      <c r="B414" s="16" t="s">
        <v>47</v>
      </c>
      <c r="C414" s="16">
        <v>2024</v>
      </c>
      <c r="D414" s="16" t="s">
        <v>38</v>
      </c>
      <c r="E414" s="16" t="s">
        <v>34</v>
      </c>
      <c r="F414" s="16" t="s">
        <v>37</v>
      </c>
      <c r="G414" s="16">
        <v>43</v>
      </c>
      <c r="H414" s="16">
        <v>7037</v>
      </c>
      <c r="I414" s="16">
        <v>655.4</v>
      </c>
      <c r="J414" s="19">
        <v>0.65700000000000003</v>
      </c>
      <c r="K414" s="16">
        <v>84.7</v>
      </c>
      <c r="L414" s="19">
        <v>0.86</v>
      </c>
      <c r="M414" s="19">
        <v>4.1000000000000002E-2</v>
      </c>
      <c r="N414" s="21">
        <v>53861.49</v>
      </c>
      <c r="O414" s="21">
        <v>37073.03</v>
      </c>
      <c r="P414" s="26">
        <v>16788.46</v>
      </c>
    </row>
    <row r="415" spans="1:16" x14ac:dyDescent="0.3">
      <c r="A415" s="25">
        <v>414</v>
      </c>
      <c r="B415" s="16" t="s">
        <v>47</v>
      </c>
      <c r="C415" s="16">
        <v>2024</v>
      </c>
      <c r="D415" s="16" t="s">
        <v>38</v>
      </c>
      <c r="E415" s="16" t="s">
        <v>35</v>
      </c>
      <c r="F415" s="16" t="s">
        <v>37</v>
      </c>
      <c r="G415" s="16">
        <v>24</v>
      </c>
      <c r="H415" s="16">
        <v>4014</v>
      </c>
      <c r="I415" s="16">
        <v>630.1</v>
      </c>
      <c r="J415" s="19">
        <v>0.68300000000000005</v>
      </c>
      <c r="K415" s="16">
        <v>81.7</v>
      </c>
      <c r="L415" s="19">
        <v>0.76900000000000002</v>
      </c>
      <c r="M415" s="19">
        <v>3.4000000000000002E-2</v>
      </c>
      <c r="N415" s="21">
        <v>29706.78</v>
      </c>
      <c r="O415" s="21">
        <v>21662.240000000002</v>
      </c>
      <c r="P415" s="26">
        <v>8044.54</v>
      </c>
    </row>
    <row r="416" spans="1:16" x14ac:dyDescent="0.3">
      <c r="A416" s="25">
        <v>415</v>
      </c>
      <c r="B416" s="16" t="s">
        <v>47</v>
      </c>
      <c r="C416" s="16">
        <v>2024</v>
      </c>
      <c r="D416" s="16" t="s">
        <v>39</v>
      </c>
      <c r="E416" s="16" t="s">
        <v>32</v>
      </c>
      <c r="F416" s="16" t="s">
        <v>28</v>
      </c>
      <c r="G416" s="16">
        <v>30</v>
      </c>
      <c r="H416" s="16">
        <v>4950</v>
      </c>
      <c r="I416" s="16">
        <v>389.5</v>
      </c>
      <c r="J416" s="19">
        <v>0.75800000000000001</v>
      </c>
      <c r="K416" s="16">
        <v>79.400000000000006</v>
      </c>
      <c r="L416" s="19">
        <v>0.96</v>
      </c>
      <c r="M416" s="19">
        <v>3.1E-2</v>
      </c>
      <c r="N416" s="21">
        <v>47004.82</v>
      </c>
      <c r="O416" s="21">
        <v>35842.730000000003</v>
      </c>
      <c r="P416" s="26">
        <v>11162.09</v>
      </c>
    </row>
    <row r="417" spans="1:16" x14ac:dyDescent="0.3">
      <c r="A417" s="25">
        <v>416</v>
      </c>
      <c r="B417" s="16" t="s">
        <v>47</v>
      </c>
      <c r="C417" s="16">
        <v>2024</v>
      </c>
      <c r="D417" s="16" t="s">
        <v>39</v>
      </c>
      <c r="E417" s="16" t="s">
        <v>31</v>
      </c>
      <c r="F417" s="16" t="s">
        <v>28</v>
      </c>
      <c r="G417" s="16">
        <v>36</v>
      </c>
      <c r="H417" s="16">
        <v>5791</v>
      </c>
      <c r="I417" s="16">
        <v>466.9</v>
      </c>
      <c r="J417" s="19">
        <v>0.76400000000000001</v>
      </c>
      <c r="K417" s="16">
        <v>79.3</v>
      </c>
      <c r="L417" s="19">
        <v>0.81899999999999995</v>
      </c>
      <c r="M417" s="19">
        <v>3.5000000000000003E-2</v>
      </c>
      <c r="N417" s="21">
        <v>56422.8</v>
      </c>
      <c r="O417" s="21">
        <v>35901.86</v>
      </c>
      <c r="P417" s="26">
        <v>20520.939999999999</v>
      </c>
    </row>
    <row r="418" spans="1:16" x14ac:dyDescent="0.3">
      <c r="A418" s="25">
        <v>417</v>
      </c>
      <c r="B418" s="16" t="s">
        <v>47</v>
      </c>
      <c r="C418" s="16">
        <v>2024</v>
      </c>
      <c r="D418" s="16" t="s">
        <v>39</v>
      </c>
      <c r="E418" s="16" t="s">
        <v>35</v>
      </c>
      <c r="F418" s="16" t="s">
        <v>28</v>
      </c>
      <c r="G418" s="16">
        <v>53</v>
      </c>
      <c r="H418" s="16">
        <v>8510</v>
      </c>
      <c r="I418" s="16">
        <v>342.5</v>
      </c>
      <c r="J418" s="19">
        <v>0.73399999999999999</v>
      </c>
      <c r="K418" s="16">
        <v>76.599999999999994</v>
      </c>
      <c r="L418" s="19">
        <v>0.92900000000000005</v>
      </c>
      <c r="M418" s="19">
        <v>3.1E-2</v>
      </c>
      <c r="N418" s="21">
        <v>94390.37</v>
      </c>
      <c r="O418" s="21">
        <v>61340</v>
      </c>
      <c r="P418" s="26">
        <v>33050.370000000003</v>
      </c>
    </row>
    <row r="419" spans="1:16" x14ac:dyDescent="0.3">
      <c r="A419" s="25">
        <v>418</v>
      </c>
      <c r="B419" s="16" t="s">
        <v>47</v>
      </c>
      <c r="C419" s="16">
        <v>2024</v>
      </c>
      <c r="D419" s="16" t="s">
        <v>39</v>
      </c>
      <c r="E419" s="16" t="s">
        <v>34</v>
      </c>
      <c r="F419" s="16" t="s">
        <v>29</v>
      </c>
      <c r="G419" s="16">
        <v>46</v>
      </c>
      <c r="H419" s="16">
        <v>6303</v>
      </c>
      <c r="I419" s="16">
        <v>278.5</v>
      </c>
      <c r="J419" s="19">
        <v>0.71</v>
      </c>
      <c r="K419" s="16">
        <v>83.5</v>
      </c>
      <c r="L419" s="19">
        <v>0.94499999999999995</v>
      </c>
      <c r="M419" s="19">
        <v>1.2999999999999999E-2</v>
      </c>
      <c r="N419" s="21">
        <v>79075.39</v>
      </c>
      <c r="O419" s="21">
        <v>56374.5</v>
      </c>
      <c r="P419" s="26">
        <v>22700.89</v>
      </c>
    </row>
    <row r="420" spans="1:16" x14ac:dyDescent="0.3">
      <c r="A420" s="25">
        <v>419</v>
      </c>
      <c r="B420" s="16" t="s">
        <v>47</v>
      </c>
      <c r="C420" s="16">
        <v>2024</v>
      </c>
      <c r="D420" s="16" t="s">
        <v>39</v>
      </c>
      <c r="E420" s="16" t="s">
        <v>31</v>
      </c>
      <c r="F420" s="16" t="s">
        <v>29</v>
      </c>
      <c r="G420" s="16">
        <v>29</v>
      </c>
      <c r="H420" s="16">
        <v>4629</v>
      </c>
      <c r="I420" s="16">
        <v>265.2</v>
      </c>
      <c r="J420" s="19">
        <v>0.629</v>
      </c>
      <c r="K420" s="16">
        <v>79.900000000000006</v>
      </c>
      <c r="L420" s="19">
        <v>0.83099999999999996</v>
      </c>
      <c r="M420" s="19">
        <v>2.1999999999999999E-2</v>
      </c>
      <c r="N420" s="21">
        <v>40991.18</v>
      </c>
      <c r="O420" s="21">
        <v>26107.45</v>
      </c>
      <c r="P420" s="26">
        <v>14883.73</v>
      </c>
    </row>
    <row r="421" spans="1:16" x14ac:dyDescent="0.3">
      <c r="A421" s="25">
        <v>420</v>
      </c>
      <c r="B421" s="16" t="s">
        <v>47</v>
      </c>
      <c r="C421" s="16">
        <v>2024</v>
      </c>
      <c r="D421" s="16" t="s">
        <v>39</v>
      </c>
      <c r="E421" s="16" t="s">
        <v>35</v>
      </c>
      <c r="F421" s="16" t="s">
        <v>29</v>
      </c>
      <c r="G421" s="16">
        <v>73</v>
      </c>
      <c r="H421" s="16">
        <v>12482</v>
      </c>
      <c r="I421" s="16">
        <v>328.3</v>
      </c>
      <c r="J421" s="19">
        <v>0.70899999999999996</v>
      </c>
      <c r="K421" s="16">
        <v>81.2</v>
      </c>
      <c r="L421" s="19">
        <v>0.95399999999999996</v>
      </c>
      <c r="M421" s="19">
        <v>3.4000000000000002E-2</v>
      </c>
      <c r="N421" s="21">
        <v>85654.42</v>
      </c>
      <c r="O421" s="21">
        <v>57411.24</v>
      </c>
      <c r="P421" s="26">
        <v>28243.18</v>
      </c>
    </row>
    <row r="422" spans="1:16" x14ac:dyDescent="0.3">
      <c r="A422" s="25">
        <v>421</v>
      </c>
      <c r="B422" s="16" t="s">
        <v>47</v>
      </c>
      <c r="C422" s="16">
        <v>2024</v>
      </c>
      <c r="D422" s="16" t="s">
        <v>39</v>
      </c>
      <c r="E422" s="16" t="s">
        <v>32</v>
      </c>
      <c r="F422" s="16" t="s">
        <v>33</v>
      </c>
      <c r="G422" s="16">
        <v>46</v>
      </c>
      <c r="H422" s="16">
        <v>6415</v>
      </c>
      <c r="I422" s="16">
        <v>500.8</v>
      </c>
      <c r="J422" s="19">
        <v>0.69099999999999995</v>
      </c>
      <c r="K422" s="16">
        <v>80.3</v>
      </c>
      <c r="L422" s="19">
        <v>0.95199999999999996</v>
      </c>
      <c r="M422" s="19">
        <v>2.3E-2</v>
      </c>
      <c r="N422" s="21">
        <v>65078.8</v>
      </c>
      <c r="O422" s="21">
        <v>42553.35</v>
      </c>
      <c r="P422" s="26">
        <v>22525.45</v>
      </c>
    </row>
    <row r="423" spans="1:16" x14ac:dyDescent="0.3">
      <c r="A423" s="25">
        <v>422</v>
      </c>
      <c r="B423" s="16" t="s">
        <v>47</v>
      </c>
      <c r="C423" s="16">
        <v>2024</v>
      </c>
      <c r="D423" s="16" t="s">
        <v>39</v>
      </c>
      <c r="E423" s="16" t="s">
        <v>30</v>
      </c>
      <c r="F423" s="16" t="s">
        <v>33</v>
      </c>
      <c r="G423" s="16">
        <v>58</v>
      </c>
      <c r="H423" s="16">
        <v>8585</v>
      </c>
      <c r="I423" s="16">
        <v>495.8</v>
      </c>
      <c r="J423" s="19">
        <v>0.68300000000000005</v>
      </c>
      <c r="K423" s="16">
        <v>80.099999999999994</v>
      </c>
      <c r="L423" s="19">
        <v>0.95099999999999996</v>
      </c>
      <c r="M423" s="19">
        <v>2.5000000000000001E-2</v>
      </c>
      <c r="N423" s="21">
        <v>100132.36</v>
      </c>
      <c r="O423" s="21">
        <v>74175.289999999994</v>
      </c>
      <c r="P423" s="26">
        <v>25957.07</v>
      </c>
    </row>
    <row r="424" spans="1:16" x14ac:dyDescent="0.3">
      <c r="A424" s="25">
        <v>423</v>
      </c>
      <c r="B424" s="16" t="s">
        <v>47</v>
      </c>
      <c r="C424" s="16">
        <v>2024</v>
      </c>
      <c r="D424" s="16" t="s">
        <v>39</v>
      </c>
      <c r="E424" s="16" t="s">
        <v>32</v>
      </c>
      <c r="F424" s="16" t="s">
        <v>36</v>
      </c>
      <c r="G424" s="16">
        <v>29</v>
      </c>
      <c r="H424" s="16">
        <v>3732</v>
      </c>
      <c r="I424" s="16">
        <v>934.7</v>
      </c>
      <c r="J424" s="19">
        <v>0.58299999999999996</v>
      </c>
      <c r="K424" s="16">
        <v>83.6</v>
      </c>
      <c r="L424" s="19">
        <v>0.93</v>
      </c>
      <c r="M424" s="19">
        <v>2.8000000000000001E-2</v>
      </c>
      <c r="N424" s="21">
        <v>35134.839999999997</v>
      </c>
      <c r="O424" s="21">
        <v>22365.29</v>
      </c>
      <c r="P424" s="26">
        <v>12769.55</v>
      </c>
    </row>
    <row r="425" spans="1:16" x14ac:dyDescent="0.3">
      <c r="A425" s="25">
        <v>424</v>
      </c>
      <c r="B425" s="16" t="s">
        <v>47</v>
      </c>
      <c r="C425" s="16">
        <v>2024</v>
      </c>
      <c r="D425" s="16" t="s">
        <v>39</v>
      </c>
      <c r="E425" s="16" t="s">
        <v>27</v>
      </c>
      <c r="F425" s="16" t="s">
        <v>36</v>
      </c>
      <c r="G425" s="16">
        <v>44</v>
      </c>
      <c r="H425" s="16">
        <v>6910</v>
      </c>
      <c r="I425" s="16">
        <v>906</v>
      </c>
      <c r="J425" s="19">
        <v>0.72299999999999998</v>
      </c>
      <c r="K425" s="16">
        <v>77.400000000000006</v>
      </c>
      <c r="L425" s="19">
        <v>0.86599999999999999</v>
      </c>
      <c r="M425" s="19">
        <v>2.4E-2</v>
      </c>
      <c r="N425" s="21">
        <v>61929.32</v>
      </c>
      <c r="O425" s="21">
        <v>39821.72</v>
      </c>
      <c r="P425" s="26">
        <v>22107.599999999999</v>
      </c>
    </row>
    <row r="426" spans="1:16" x14ac:dyDescent="0.3">
      <c r="A426" s="25">
        <v>425</v>
      </c>
      <c r="B426" s="16" t="s">
        <v>47</v>
      </c>
      <c r="C426" s="16">
        <v>2024</v>
      </c>
      <c r="D426" s="16" t="s">
        <v>39</v>
      </c>
      <c r="E426" s="16" t="s">
        <v>31</v>
      </c>
      <c r="F426" s="16" t="s">
        <v>36</v>
      </c>
      <c r="G426" s="16">
        <v>27</v>
      </c>
      <c r="H426" s="16">
        <v>4266</v>
      </c>
      <c r="I426" s="16">
        <v>953.9</v>
      </c>
      <c r="J426" s="19">
        <v>0.624</v>
      </c>
      <c r="K426" s="16">
        <v>91.9</v>
      </c>
      <c r="L426" s="19">
        <v>0.96199999999999997</v>
      </c>
      <c r="M426" s="19">
        <v>3.4000000000000002E-2</v>
      </c>
      <c r="N426" s="21">
        <v>42827.9</v>
      </c>
      <c r="O426" s="21">
        <v>28376.75</v>
      </c>
      <c r="P426" s="26">
        <v>14451.15</v>
      </c>
    </row>
    <row r="427" spans="1:16" x14ac:dyDescent="0.3">
      <c r="A427" s="25">
        <v>426</v>
      </c>
      <c r="B427" s="16" t="s">
        <v>47</v>
      </c>
      <c r="C427" s="16">
        <v>2024</v>
      </c>
      <c r="D427" s="16" t="s">
        <v>39</v>
      </c>
      <c r="E427" s="16" t="s">
        <v>27</v>
      </c>
      <c r="F427" s="16" t="s">
        <v>37</v>
      </c>
      <c r="G427" s="16">
        <v>63</v>
      </c>
      <c r="H427" s="16">
        <v>9620</v>
      </c>
      <c r="I427" s="16">
        <v>703.6</v>
      </c>
      <c r="J427" s="19">
        <v>0.752</v>
      </c>
      <c r="K427" s="16">
        <v>73.5</v>
      </c>
      <c r="L427" s="19">
        <v>0.88900000000000001</v>
      </c>
      <c r="M427" s="19">
        <v>3.7999999999999999E-2</v>
      </c>
      <c r="N427" s="21">
        <v>96559.95</v>
      </c>
      <c r="O427" s="21">
        <v>71928.649999999994</v>
      </c>
      <c r="P427" s="26">
        <v>24631.3</v>
      </c>
    </row>
    <row r="428" spans="1:16" x14ac:dyDescent="0.3">
      <c r="A428" s="25">
        <v>427</v>
      </c>
      <c r="B428" s="16" t="s">
        <v>47</v>
      </c>
      <c r="C428" s="16">
        <v>2024</v>
      </c>
      <c r="D428" s="16" t="s">
        <v>39</v>
      </c>
      <c r="E428" s="16" t="s">
        <v>30</v>
      </c>
      <c r="F428" s="16" t="s">
        <v>37</v>
      </c>
      <c r="G428" s="16">
        <v>67</v>
      </c>
      <c r="H428" s="16">
        <v>8222</v>
      </c>
      <c r="I428" s="16">
        <v>591.1</v>
      </c>
      <c r="J428" s="19">
        <v>0.56399999999999995</v>
      </c>
      <c r="K428" s="16">
        <v>84.3</v>
      </c>
      <c r="L428" s="19">
        <v>0.90800000000000003</v>
      </c>
      <c r="M428" s="19">
        <v>2.1999999999999999E-2</v>
      </c>
      <c r="N428" s="21">
        <v>81485.14</v>
      </c>
      <c r="O428" s="21">
        <v>60135.14</v>
      </c>
      <c r="P428" s="26">
        <v>21350</v>
      </c>
    </row>
    <row r="429" spans="1:16" x14ac:dyDescent="0.3">
      <c r="A429" s="25">
        <v>428</v>
      </c>
      <c r="B429" s="16" t="s">
        <v>47</v>
      </c>
      <c r="C429" s="16">
        <v>2024</v>
      </c>
      <c r="D429" s="16" t="s">
        <v>40</v>
      </c>
      <c r="E429" s="16" t="s">
        <v>32</v>
      </c>
      <c r="F429" s="16" t="s">
        <v>28</v>
      </c>
      <c r="G429" s="16">
        <v>65</v>
      </c>
      <c r="H429" s="16">
        <v>10629</v>
      </c>
      <c r="I429" s="16">
        <v>454.9</v>
      </c>
      <c r="J429" s="19">
        <v>0.72199999999999998</v>
      </c>
      <c r="K429" s="16">
        <v>82.6</v>
      </c>
      <c r="L429" s="19">
        <v>0.84</v>
      </c>
      <c r="M429" s="19">
        <v>2.1999999999999999E-2</v>
      </c>
      <c r="N429" s="21">
        <v>95063.55</v>
      </c>
      <c r="O429" s="21">
        <v>71457.42</v>
      </c>
      <c r="P429" s="26">
        <v>23606.13</v>
      </c>
    </row>
    <row r="430" spans="1:16" x14ac:dyDescent="0.3">
      <c r="A430" s="25">
        <v>429</v>
      </c>
      <c r="B430" s="16" t="s">
        <v>47</v>
      </c>
      <c r="C430" s="16">
        <v>2024</v>
      </c>
      <c r="D430" s="16" t="s">
        <v>40</v>
      </c>
      <c r="E430" s="16" t="s">
        <v>30</v>
      </c>
      <c r="F430" s="16" t="s">
        <v>28</v>
      </c>
      <c r="G430" s="16">
        <v>69</v>
      </c>
      <c r="H430" s="16">
        <v>8159</v>
      </c>
      <c r="I430" s="16">
        <v>410.2</v>
      </c>
      <c r="J430" s="19">
        <v>0.80600000000000005</v>
      </c>
      <c r="K430" s="16">
        <v>79.599999999999994</v>
      </c>
      <c r="L430" s="19">
        <v>0.91300000000000003</v>
      </c>
      <c r="M430" s="19">
        <v>1.7000000000000001E-2</v>
      </c>
      <c r="N430" s="21">
        <v>105201.55</v>
      </c>
      <c r="O430" s="21">
        <v>80640.179999999993</v>
      </c>
      <c r="P430" s="26">
        <v>24561.37</v>
      </c>
    </row>
    <row r="431" spans="1:16" x14ac:dyDescent="0.3">
      <c r="A431" s="25">
        <v>430</v>
      </c>
      <c r="B431" s="16" t="s">
        <v>47</v>
      </c>
      <c r="C431" s="16">
        <v>2024</v>
      </c>
      <c r="D431" s="16" t="s">
        <v>40</v>
      </c>
      <c r="E431" s="16" t="s">
        <v>31</v>
      </c>
      <c r="F431" s="16" t="s">
        <v>28</v>
      </c>
      <c r="G431" s="16">
        <v>36</v>
      </c>
      <c r="H431" s="16">
        <v>5128</v>
      </c>
      <c r="I431" s="16">
        <v>452.4</v>
      </c>
      <c r="J431" s="19">
        <v>0.745</v>
      </c>
      <c r="K431" s="16">
        <v>79.3</v>
      </c>
      <c r="L431" s="19">
        <v>0.82899999999999996</v>
      </c>
      <c r="M431" s="19">
        <v>2.3E-2</v>
      </c>
      <c r="N431" s="21">
        <v>64048.480000000003</v>
      </c>
      <c r="O431" s="21">
        <v>41416.699999999997</v>
      </c>
      <c r="P431" s="26">
        <v>22631.78</v>
      </c>
    </row>
    <row r="432" spans="1:16" x14ac:dyDescent="0.3">
      <c r="A432" s="25">
        <v>431</v>
      </c>
      <c r="B432" s="16" t="s">
        <v>47</v>
      </c>
      <c r="C432" s="16">
        <v>2024</v>
      </c>
      <c r="D432" s="16" t="s">
        <v>40</v>
      </c>
      <c r="E432" s="16" t="s">
        <v>35</v>
      </c>
      <c r="F432" s="16" t="s">
        <v>28</v>
      </c>
      <c r="G432" s="16">
        <v>36</v>
      </c>
      <c r="H432" s="16">
        <v>5881</v>
      </c>
      <c r="I432" s="16">
        <v>428.4</v>
      </c>
      <c r="J432" s="19">
        <v>0.72099999999999997</v>
      </c>
      <c r="K432" s="16">
        <v>83</v>
      </c>
      <c r="L432" s="19">
        <v>0.88900000000000001</v>
      </c>
      <c r="M432" s="19">
        <v>3.3000000000000002E-2</v>
      </c>
      <c r="N432" s="21">
        <v>58287.93</v>
      </c>
      <c r="O432" s="21">
        <v>42746.82</v>
      </c>
      <c r="P432" s="26">
        <v>15541.11</v>
      </c>
    </row>
    <row r="433" spans="1:16" x14ac:dyDescent="0.3">
      <c r="A433" s="25">
        <v>432</v>
      </c>
      <c r="B433" s="16" t="s">
        <v>47</v>
      </c>
      <c r="C433" s="16">
        <v>2024</v>
      </c>
      <c r="D433" s="16" t="s">
        <v>40</v>
      </c>
      <c r="E433" s="16" t="s">
        <v>32</v>
      </c>
      <c r="F433" s="16" t="s">
        <v>29</v>
      </c>
      <c r="G433" s="16">
        <v>38</v>
      </c>
      <c r="H433" s="16">
        <v>4864</v>
      </c>
      <c r="I433" s="16">
        <v>275.5</v>
      </c>
      <c r="J433" s="19">
        <v>0.66200000000000003</v>
      </c>
      <c r="K433" s="16">
        <v>82.7</v>
      </c>
      <c r="L433" s="19">
        <v>0.9</v>
      </c>
      <c r="M433" s="19">
        <v>3.0000000000000001E-3</v>
      </c>
      <c r="N433" s="21">
        <v>50925.36</v>
      </c>
      <c r="O433" s="21">
        <v>38223</v>
      </c>
      <c r="P433" s="26">
        <v>12702.36</v>
      </c>
    </row>
    <row r="434" spans="1:16" x14ac:dyDescent="0.3">
      <c r="A434" s="25">
        <v>433</v>
      </c>
      <c r="B434" s="16" t="s">
        <v>47</v>
      </c>
      <c r="C434" s="16">
        <v>2024</v>
      </c>
      <c r="D434" s="16" t="s">
        <v>40</v>
      </c>
      <c r="E434" s="16" t="s">
        <v>30</v>
      </c>
      <c r="F434" s="16" t="s">
        <v>29</v>
      </c>
      <c r="G434" s="16">
        <v>58</v>
      </c>
      <c r="H434" s="16">
        <v>8829</v>
      </c>
      <c r="I434" s="16">
        <v>369.2</v>
      </c>
      <c r="J434" s="19">
        <v>0.56100000000000005</v>
      </c>
      <c r="K434" s="16">
        <v>74.2</v>
      </c>
      <c r="L434" s="19">
        <v>0.85599999999999998</v>
      </c>
      <c r="M434" s="19">
        <v>4.2999999999999997E-2</v>
      </c>
      <c r="N434" s="21">
        <v>61921.24</v>
      </c>
      <c r="O434" s="21">
        <v>45683.360000000001</v>
      </c>
      <c r="P434" s="26">
        <v>16237.88</v>
      </c>
    </row>
    <row r="435" spans="1:16" x14ac:dyDescent="0.3">
      <c r="A435" s="25">
        <v>434</v>
      </c>
      <c r="B435" s="16" t="s">
        <v>47</v>
      </c>
      <c r="C435" s="16">
        <v>2024</v>
      </c>
      <c r="D435" s="16" t="s">
        <v>40</v>
      </c>
      <c r="E435" s="16" t="s">
        <v>32</v>
      </c>
      <c r="F435" s="16" t="s">
        <v>33</v>
      </c>
      <c r="G435" s="16">
        <v>66</v>
      </c>
      <c r="H435" s="16">
        <v>9142</v>
      </c>
      <c r="I435" s="16">
        <v>482.2</v>
      </c>
      <c r="J435" s="19">
        <v>0.72099999999999997</v>
      </c>
      <c r="K435" s="16">
        <v>90.7</v>
      </c>
      <c r="L435" s="19">
        <v>0.89900000000000002</v>
      </c>
      <c r="M435" s="19">
        <v>0</v>
      </c>
      <c r="N435" s="21">
        <v>90625.55</v>
      </c>
      <c r="O435" s="21">
        <v>66599.89</v>
      </c>
      <c r="P435" s="26">
        <v>24025.66</v>
      </c>
    </row>
    <row r="436" spans="1:16" x14ac:dyDescent="0.3">
      <c r="A436" s="25">
        <v>435</v>
      </c>
      <c r="B436" s="16" t="s">
        <v>47</v>
      </c>
      <c r="C436" s="16">
        <v>2024</v>
      </c>
      <c r="D436" s="16" t="s">
        <v>40</v>
      </c>
      <c r="E436" s="16" t="s">
        <v>30</v>
      </c>
      <c r="F436" s="16" t="s">
        <v>33</v>
      </c>
      <c r="G436" s="16">
        <v>55</v>
      </c>
      <c r="H436" s="16">
        <v>7557</v>
      </c>
      <c r="I436" s="16">
        <v>425.8</v>
      </c>
      <c r="J436" s="19">
        <v>0.76500000000000001</v>
      </c>
      <c r="K436" s="16">
        <v>88.2</v>
      </c>
      <c r="L436" s="19">
        <v>0.88200000000000001</v>
      </c>
      <c r="M436" s="19">
        <v>1.2E-2</v>
      </c>
      <c r="N436" s="21">
        <v>92967.65</v>
      </c>
      <c r="O436" s="21">
        <v>61482.12</v>
      </c>
      <c r="P436" s="26">
        <v>31485.53</v>
      </c>
    </row>
    <row r="437" spans="1:16" x14ac:dyDescent="0.3">
      <c r="A437" s="25">
        <v>436</v>
      </c>
      <c r="B437" s="16" t="s">
        <v>47</v>
      </c>
      <c r="C437" s="16">
        <v>2024</v>
      </c>
      <c r="D437" s="16" t="s">
        <v>40</v>
      </c>
      <c r="E437" s="16" t="s">
        <v>34</v>
      </c>
      <c r="F437" s="16" t="s">
        <v>33</v>
      </c>
      <c r="G437" s="16">
        <v>36</v>
      </c>
      <c r="H437" s="16">
        <v>6625</v>
      </c>
      <c r="I437" s="16">
        <v>422.1</v>
      </c>
      <c r="J437" s="19">
        <v>0.73599999999999999</v>
      </c>
      <c r="K437" s="16">
        <v>77.7</v>
      </c>
      <c r="L437" s="19">
        <v>0.9</v>
      </c>
      <c r="M437" s="19">
        <v>3.7999999999999999E-2</v>
      </c>
      <c r="N437" s="21">
        <v>52130.28</v>
      </c>
      <c r="O437" s="21">
        <v>36373.47</v>
      </c>
      <c r="P437" s="26">
        <v>15756.81</v>
      </c>
    </row>
    <row r="438" spans="1:16" x14ac:dyDescent="0.3">
      <c r="A438" s="25">
        <v>437</v>
      </c>
      <c r="B438" s="16" t="s">
        <v>47</v>
      </c>
      <c r="C438" s="16">
        <v>2024</v>
      </c>
      <c r="D438" s="16" t="s">
        <v>40</v>
      </c>
      <c r="E438" s="16" t="s">
        <v>31</v>
      </c>
      <c r="F438" s="16" t="s">
        <v>33</v>
      </c>
      <c r="G438" s="16">
        <v>71</v>
      </c>
      <c r="H438" s="16">
        <v>9994</v>
      </c>
      <c r="I438" s="16">
        <v>470.7</v>
      </c>
      <c r="J438" s="19">
        <v>0.89800000000000002</v>
      </c>
      <c r="K438" s="16">
        <v>84.2</v>
      </c>
      <c r="L438" s="19">
        <v>0.91700000000000004</v>
      </c>
      <c r="M438" s="19">
        <v>1.0999999999999999E-2</v>
      </c>
      <c r="N438" s="21">
        <v>113313.75</v>
      </c>
      <c r="O438" s="21">
        <v>76335.520000000004</v>
      </c>
      <c r="P438" s="26">
        <v>36978.230000000003</v>
      </c>
    </row>
    <row r="439" spans="1:16" x14ac:dyDescent="0.3">
      <c r="A439" s="25">
        <v>438</v>
      </c>
      <c r="B439" s="16" t="s">
        <v>47</v>
      </c>
      <c r="C439" s="16">
        <v>2024</v>
      </c>
      <c r="D439" s="16" t="s">
        <v>40</v>
      </c>
      <c r="E439" s="16" t="s">
        <v>35</v>
      </c>
      <c r="F439" s="16" t="s">
        <v>33</v>
      </c>
      <c r="G439" s="16">
        <v>78</v>
      </c>
      <c r="H439" s="16">
        <v>12347</v>
      </c>
      <c r="I439" s="16">
        <v>437</v>
      </c>
      <c r="J439" s="19">
        <v>0.747</v>
      </c>
      <c r="K439" s="16">
        <v>81</v>
      </c>
      <c r="L439" s="19">
        <v>0.84499999999999997</v>
      </c>
      <c r="M439" s="19">
        <v>2.3E-2</v>
      </c>
      <c r="N439" s="21">
        <v>143464.04999999999</v>
      </c>
      <c r="O439" s="21">
        <v>106805.77</v>
      </c>
      <c r="P439" s="26">
        <v>36658.28</v>
      </c>
    </row>
    <row r="440" spans="1:16" x14ac:dyDescent="0.3">
      <c r="A440" s="25">
        <v>439</v>
      </c>
      <c r="B440" s="16" t="s">
        <v>47</v>
      </c>
      <c r="C440" s="16">
        <v>2024</v>
      </c>
      <c r="D440" s="16" t="s">
        <v>40</v>
      </c>
      <c r="E440" s="16" t="s">
        <v>34</v>
      </c>
      <c r="F440" s="16" t="s">
        <v>36</v>
      </c>
      <c r="G440" s="16">
        <v>35</v>
      </c>
      <c r="H440" s="16">
        <v>6258</v>
      </c>
      <c r="I440" s="16">
        <v>865.8</v>
      </c>
      <c r="J440" s="19">
        <v>0.70199999999999996</v>
      </c>
      <c r="K440" s="16">
        <v>87.3</v>
      </c>
      <c r="L440" s="19">
        <v>0.92900000000000005</v>
      </c>
      <c r="M440" s="19">
        <v>8.9999999999999993E-3</v>
      </c>
      <c r="N440" s="21">
        <v>40958.47</v>
      </c>
      <c r="O440" s="21">
        <v>27002.799999999999</v>
      </c>
      <c r="P440" s="26">
        <v>13955.67</v>
      </c>
    </row>
    <row r="441" spans="1:16" x14ac:dyDescent="0.3">
      <c r="A441" s="25">
        <v>440</v>
      </c>
      <c r="B441" s="16" t="s">
        <v>47</v>
      </c>
      <c r="C441" s="16">
        <v>2024</v>
      </c>
      <c r="D441" s="16" t="s">
        <v>40</v>
      </c>
      <c r="E441" s="16" t="s">
        <v>31</v>
      </c>
      <c r="F441" s="16" t="s">
        <v>36</v>
      </c>
      <c r="G441" s="16">
        <v>55</v>
      </c>
      <c r="H441" s="16">
        <v>9265</v>
      </c>
      <c r="I441" s="16">
        <v>934.5</v>
      </c>
      <c r="J441" s="19">
        <v>0.71499999999999997</v>
      </c>
      <c r="K441" s="16">
        <v>82.8</v>
      </c>
      <c r="L441" s="19">
        <v>0.98799999999999999</v>
      </c>
      <c r="M441" s="19">
        <v>1.9E-2</v>
      </c>
      <c r="N441" s="21">
        <v>68887.490000000005</v>
      </c>
      <c r="O441" s="21">
        <v>50257.279999999999</v>
      </c>
      <c r="P441" s="26">
        <v>18630.21</v>
      </c>
    </row>
    <row r="442" spans="1:16" x14ac:dyDescent="0.3">
      <c r="A442" s="25">
        <v>441</v>
      </c>
      <c r="B442" s="16" t="s">
        <v>47</v>
      </c>
      <c r="C442" s="16">
        <v>2024</v>
      </c>
      <c r="D442" s="16" t="s">
        <v>40</v>
      </c>
      <c r="E442" s="16" t="s">
        <v>35</v>
      </c>
      <c r="F442" s="16" t="s">
        <v>37</v>
      </c>
      <c r="G442" s="16">
        <v>43</v>
      </c>
      <c r="H442" s="16">
        <v>6557</v>
      </c>
      <c r="I442" s="16">
        <v>698.1</v>
      </c>
      <c r="J442" s="19">
        <v>0.71199999999999997</v>
      </c>
      <c r="K442" s="16">
        <v>80</v>
      </c>
      <c r="L442" s="19">
        <v>0.93100000000000005</v>
      </c>
      <c r="M442" s="19">
        <v>2.3E-2</v>
      </c>
      <c r="N442" s="21">
        <v>69629.399999999994</v>
      </c>
      <c r="O442" s="21">
        <v>43670.01</v>
      </c>
      <c r="P442" s="26">
        <v>25959.39</v>
      </c>
    </row>
    <row r="443" spans="1:16" x14ac:dyDescent="0.3">
      <c r="A443" s="25">
        <v>442</v>
      </c>
      <c r="B443" s="16" t="s">
        <v>47</v>
      </c>
      <c r="C443" s="16">
        <v>2024</v>
      </c>
      <c r="D443" s="16" t="s">
        <v>41</v>
      </c>
      <c r="E443" s="16" t="s">
        <v>32</v>
      </c>
      <c r="F443" s="16" t="s">
        <v>28</v>
      </c>
      <c r="G443" s="16">
        <v>30</v>
      </c>
      <c r="H443" s="16">
        <v>3637</v>
      </c>
      <c r="I443" s="16">
        <v>446.7</v>
      </c>
      <c r="J443" s="19">
        <v>0.81499999999999995</v>
      </c>
      <c r="K443" s="16">
        <v>88.9</v>
      </c>
      <c r="L443" s="19">
        <v>0.98399999999999999</v>
      </c>
      <c r="M443" s="19">
        <v>1.9E-2</v>
      </c>
      <c r="N443" s="21">
        <v>54969.65</v>
      </c>
      <c r="O443" s="21">
        <v>38336.949999999997</v>
      </c>
      <c r="P443" s="26">
        <v>16632.7</v>
      </c>
    </row>
    <row r="444" spans="1:16" x14ac:dyDescent="0.3">
      <c r="A444" s="25">
        <v>443</v>
      </c>
      <c r="B444" s="16" t="s">
        <v>47</v>
      </c>
      <c r="C444" s="16">
        <v>2024</v>
      </c>
      <c r="D444" s="16" t="s">
        <v>41</v>
      </c>
      <c r="E444" s="16" t="s">
        <v>27</v>
      </c>
      <c r="F444" s="16" t="s">
        <v>28</v>
      </c>
      <c r="G444" s="16">
        <v>35</v>
      </c>
      <c r="H444" s="16">
        <v>5563</v>
      </c>
      <c r="I444" s="16">
        <v>436.4</v>
      </c>
      <c r="J444" s="19">
        <v>0.80100000000000005</v>
      </c>
      <c r="K444" s="16">
        <v>86.4</v>
      </c>
      <c r="L444" s="19">
        <v>1</v>
      </c>
      <c r="M444" s="19">
        <v>0.02</v>
      </c>
      <c r="N444" s="21">
        <v>78804.009999999995</v>
      </c>
      <c r="O444" s="21">
        <v>56992.95</v>
      </c>
      <c r="P444" s="26">
        <v>21811.06</v>
      </c>
    </row>
    <row r="445" spans="1:16" x14ac:dyDescent="0.3">
      <c r="A445" s="25">
        <v>444</v>
      </c>
      <c r="B445" s="16" t="s">
        <v>47</v>
      </c>
      <c r="C445" s="16">
        <v>2024</v>
      </c>
      <c r="D445" s="16" t="s">
        <v>41</v>
      </c>
      <c r="E445" s="16" t="s">
        <v>34</v>
      </c>
      <c r="F445" s="16" t="s">
        <v>28</v>
      </c>
      <c r="G445" s="16">
        <v>45</v>
      </c>
      <c r="H445" s="16">
        <v>6432</v>
      </c>
      <c r="I445" s="16">
        <v>427.9</v>
      </c>
      <c r="J445" s="19">
        <v>0.81100000000000005</v>
      </c>
      <c r="K445" s="16">
        <v>75.8</v>
      </c>
      <c r="L445" s="19">
        <v>0.85299999999999998</v>
      </c>
      <c r="M445" s="19">
        <v>4.1000000000000002E-2</v>
      </c>
      <c r="N445" s="21">
        <v>87972.39</v>
      </c>
      <c r="O445" s="21">
        <v>64176.71</v>
      </c>
      <c r="P445" s="26">
        <v>23795.68</v>
      </c>
    </row>
    <row r="446" spans="1:16" x14ac:dyDescent="0.3">
      <c r="A446" s="25">
        <v>445</v>
      </c>
      <c r="B446" s="16" t="s">
        <v>47</v>
      </c>
      <c r="C446" s="16">
        <v>2024</v>
      </c>
      <c r="D446" s="16" t="s">
        <v>41</v>
      </c>
      <c r="E446" s="16" t="s">
        <v>35</v>
      </c>
      <c r="F446" s="16" t="s">
        <v>28</v>
      </c>
      <c r="G446" s="16">
        <v>27</v>
      </c>
      <c r="H446" s="16">
        <v>3971</v>
      </c>
      <c r="I446" s="16">
        <v>378.2</v>
      </c>
      <c r="J446" s="19">
        <v>0.80800000000000005</v>
      </c>
      <c r="K446" s="16">
        <v>87.5</v>
      </c>
      <c r="L446" s="19">
        <v>0.85299999999999998</v>
      </c>
      <c r="M446" s="19">
        <v>0.03</v>
      </c>
      <c r="N446" s="21">
        <v>52915.64</v>
      </c>
      <c r="O446" s="21">
        <v>38114.78</v>
      </c>
      <c r="P446" s="26">
        <v>14800.86</v>
      </c>
    </row>
    <row r="447" spans="1:16" x14ac:dyDescent="0.3">
      <c r="A447" s="25">
        <v>446</v>
      </c>
      <c r="B447" s="16" t="s">
        <v>47</v>
      </c>
      <c r="C447" s="16">
        <v>2024</v>
      </c>
      <c r="D447" s="16" t="s">
        <v>41</v>
      </c>
      <c r="E447" s="16" t="s">
        <v>27</v>
      </c>
      <c r="F447" s="16" t="s">
        <v>29</v>
      </c>
      <c r="G447" s="16">
        <v>5</v>
      </c>
      <c r="H447" s="16">
        <v>751</v>
      </c>
      <c r="I447" s="16">
        <v>277.8</v>
      </c>
      <c r="J447" s="19">
        <v>0.67300000000000004</v>
      </c>
      <c r="K447" s="16">
        <v>93</v>
      </c>
      <c r="L447" s="19">
        <v>0.89</v>
      </c>
      <c r="M447" s="19">
        <v>0.04</v>
      </c>
      <c r="N447" s="21">
        <v>7596.8</v>
      </c>
      <c r="O447" s="21">
        <v>5747.17</v>
      </c>
      <c r="P447" s="26">
        <v>1849.63</v>
      </c>
    </row>
    <row r="448" spans="1:16" x14ac:dyDescent="0.3">
      <c r="A448" s="25">
        <v>447</v>
      </c>
      <c r="B448" s="16" t="s">
        <v>47</v>
      </c>
      <c r="C448" s="16">
        <v>2024</v>
      </c>
      <c r="D448" s="16" t="s">
        <v>41</v>
      </c>
      <c r="E448" s="16" t="s">
        <v>30</v>
      </c>
      <c r="F448" s="16" t="s">
        <v>29</v>
      </c>
      <c r="G448" s="16">
        <v>53</v>
      </c>
      <c r="H448" s="16">
        <v>7480</v>
      </c>
      <c r="I448" s="16">
        <v>315.7</v>
      </c>
      <c r="J448" s="19">
        <v>0.61</v>
      </c>
      <c r="K448" s="16">
        <v>84.3</v>
      </c>
      <c r="L448" s="19">
        <v>0.97099999999999997</v>
      </c>
      <c r="M448" s="19">
        <v>1.2E-2</v>
      </c>
      <c r="N448" s="21">
        <v>78085.570000000007</v>
      </c>
      <c r="O448" s="21">
        <v>51332.71</v>
      </c>
      <c r="P448" s="26">
        <v>26752.86</v>
      </c>
    </row>
    <row r="449" spans="1:16" x14ac:dyDescent="0.3">
      <c r="A449" s="25">
        <v>448</v>
      </c>
      <c r="B449" s="16" t="s">
        <v>47</v>
      </c>
      <c r="C449" s="16">
        <v>2024</v>
      </c>
      <c r="D449" s="16" t="s">
        <v>41</v>
      </c>
      <c r="E449" s="16" t="s">
        <v>34</v>
      </c>
      <c r="F449" s="16" t="s">
        <v>29</v>
      </c>
      <c r="G449" s="16">
        <v>56</v>
      </c>
      <c r="H449" s="16">
        <v>7286</v>
      </c>
      <c r="I449" s="16">
        <v>310.39999999999998</v>
      </c>
      <c r="J449" s="19">
        <v>0.71099999999999997</v>
      </c>
      <c r="K449" s="16">
        <v>82</v>
      </c>
      <c r="L449" s="19">
        <v>0.93</v>
      </c>
      <c r="M449" s="19">
        <v>0.01</v>
      </c>
      <c r="N449" s="21">
        <v>88251.25</v>
      </c>
      <c r="O449" s="21">
        <v>65431.14</v>
      </c>
      <c r="P449" s="26">
        <v>22820.11</v>
      </c>
    </row>
    <row r="450" spans="1:16" x14ac:dyDescent="0.3">
      <c r="A450" s="25">
        <v>449</v>
      </c>
      <c r="B450" s="16" t="s">
        <v>47</v>
      </c>
      <c r="C450" s="16">
        <v>2024</v>
      </c>
      <c r="D450" s="16" t="s">
        <v>41</v>
      </c>
      <c r="E450" s="16" t="s">
        <v>32</v>
      </c>
      <c r="F450" s="16" t="s">
        <v>33</v>
      </c>
      <c r="G450" s="16">
        <v>45</v>
      </c>
      <c r="H450" s="16">
        <v>7273</v>
      </c>
      <c r="I450" s="16">
        <v>482</v>
      </c>
      <c r="J450" s="19">
        <v>0.77800000000000002</v>
      </c>
      <c r="K450" s="16">
        <v>93.4</v>
      </c>
      <c r="L450" s="19">
        <v>0.70299999999999996</v>
      </c>
      <c r="M450" s="19">
        <v>1.7000000000000001E-2</v>
      </c>
      <c r="N450" s="21">
        <v>75864.240000000005</v>
      </c>
      <c r="O450" s="21">
        <v>52987.38</v>
      </c>
      <c r="P450" s="26">
        <v>22876.86</v>
      </c>
    </row>
    <row r="451" spans="1:16" x14ac:dyDescent="0.3">
      <c r="A451" s="25">
        <v>450</v>
      </c>
      <c r="B451" s="16" t="s">
        <v>47</v>
      </c>
      <c r="C451" s="16">
        <v>2024</v>
      </c>
      <c r="D451" s="16" t="s">
        <v>41</v>
      </c>
      <c r="E451" s="16" t="s">
        <v>27</v>
      </c>
      <c r="F451" s="16" t="s">
        <v>33</v>
      </c>
      <c r="G451" s="16">
        <v>39</v>
      </c>
      <c r="H451" s="16">
        <v>6613</v>
      </c>
      <c r="I451" s="16">
        <v>475.9</v>
      </c>
      <c r="J451" s="19">
        <v>0.61399999999999999</v>
      </c>
      <c r="K451" s="16">
        <v>80.5</v>
      </c>
      <c r="L451" s="19">
        <v>0.89600000000000002</v>
      </c>
      <c r="M451" s="19">
        <v>2.4E-2</v>
      </c>
      <c r="N451" s="21">
        <v>75218.460000000006</v>
      </c>
      <c r="O451" s="21">
        <v>50655.67</v>
      </c>
      <c r="P451" s="26">
        <v>24562.79</v>
      </c>
    </row>
    <row r="452" spans="1:16" x14ac:dyDescent="0.3">
      <c r="A452" s="25">
        <v>451</v>
      </c>
      <c r="B452" s="16" t="s">
        <v>47</v>
      </c>
      <c r="C452" s="16">
        <v>2024</v>
      </c>
      <c r="D452" s="16" t="s">
        <v>41</v>
      </c>
      <c r="E452" s="16" t="s">
        <v>31</v>
      </c>
      <c r="F452" s="16" t="s">
        <v>33</v>
      </c>
      <c r="G452" s="16">
        <v>31</v>
      </c>
      <c r="H452" s="16">
        <v>4289</v>
      </c>
      <c r="I452" s="16">
        <v>404.3</v>
      </c>
      <c r="J452" s="19">
        <v>0.71699999999999997</v>
      </c>
      <c r="K452" s="16">
        <v>87.7</v>
      </c>
      <c r="L452" s="19">
        <v>1</v>
      </c>
      <c r="M452" s="19">
        <v>1.9E-2</v>
      </c>
      <c r="N452" s="21">
        <v>69350.92</v>
      </c>
      <c r="O452" s="21">
        <v>46954</v>
      </c>
      <c r="P452" s="26">
        <v>22396.92</v>
      </c>
    </row>
    <row r="453" spans="1:16" x14ac:dyDescent="0.3">
      <c r="A453" s="25">
        <v>452</v>
      </c>
      <c r="B453" s="16" t="s">
        <v>47</v>
      </c>
      <c r="C453" s="16">
        <v>2024</v>
      </c>
      <c r="D453" s="16" t="s">
        <v>41</v>
      </c>
      <c r="E453" s="16" t="s">
        <v>32</v>
      </c>
      <c r="F453" s="16" t="s">
        <v>36</v>
      </c>
      <c r="G453" s="16">
        <v>24</v>
      </c>
      <c r="H453" s="16">
        <v>3237</v>
      </c>
      <c r="I453" s="16">
        <v>889.5</v>
      </c>
      <c r="J453" s="19">
        <v>0.60399999999999998</v>
      </c>
      <c r="K453" s="16">
        <v>83.3</v>
      </c>
      <c r="L453" s="19">
        <v>0.98599999999999999</v>
      </c>
      <c r="M453" s="19">
        <v>2.7E-2</v>
      </c>
      <c r="N453" s="21">
        <v>36010.76</v>
      </c>
      <c r="O453" s="21">
        <v>24278.36</v>
      </c>
      <c r="P453" s="26">
        <v>11732.4</v>
      </c>
    </row>
    <row r="454" spans="1:16" x14ac:dyDescent="0.3">
      <c r="A454" s="25">
        <v>453</v>
      </c>
      <c r="B454" s="16" t="s">
        <v>47</v>
      </c>
      <c r="C454" s="16">
        <v>2024</v>
      </c>
      <c r="D454" s="16" t="s">
        <v>41</v>
      </c>
      <c r="E454" s="16" t="s">
        <v>27</v>
      </c>
      <c r="F454" s="16" t="s">
        <v>36</v>
      </c>
      <c r="G454" s="16">
        <v>54</v>
      </c>
      <c r="H454" s="16">
        <v>7188</v>
      </c>
      <c r="I454" s="16">
        <v>912.3</v>
      </c>
      <c r="J454" s="19">
        <v>0.68500000000000005</v>
      </c>
      <c r="K454" s="16">
        <v>93.6</v>
      </c>
      <c r="L454" s="19">
        <v>0.93799999999999994</v>
      </c>
      <c r="M454" s="19">
        <v>1.0999999999999999E-2</v>
      </c>
      <c r="N454" s="21">
        <v>90058.65</v>
      </c>
      <c r="O454" s="21">
        <v>57661.13</v>
      </c>
      <c r="P454" s="26">
        <v>32397.52</v>
      </c>
    </row>
    <row r="455" spans="1:16" x14ac:dyDescent="0.3">
      <c r="A455" s="25">
        <v>454</v>
      </c>
      <c r="B455" s="16" t="s">
        <v>47</v>
      </c>
      <c r="C455" s="16">
        <v>2024</v>
      </c>
      <c r="D455" s="16" t="s">
        <v>41</v>
      </c>
      <c r="E455" s="16" t="s">
        <v>32</v>
      </c>
      <c r="F455" s="16" t="s">
        <v>37</v>
      </c>
      <c r="G455" s="16">
        <v>44</v>
      </c>
      <c r="H455" s="16">
        <v>6708</v>
      </c>
      <c r="I455" s="16">
        <v>663.4</v>
      </c>
      <c r="J455" s="19">
        <v>0.72799999999999998</v>
      </c>
      <c r="K455" s="16">
        <v>88.6</v>
      </c>
      <c r="L455" s="19">
        <v>0.95199999999999996</v>
      </c>
      <c r="M455" s="19">
        <v>8.9999999999999993E-3</v>
      </c>
      <c r="N455" s="21">
        <v>66722.02</v>
      </c>
      <c r="O455" s="21">
        <v>41923.03</v>
      </c>
      <c r="P455" s="26">
        <v>24798.99</v>
      </c>
    </row>
    <row r="456" spans="1:16" x14ac:dyDescent="0.3">
      <c r="A456" s="25">
        <v>455</v>
      </c>
      <c r="B456" s="16" t="s">
        <v>47</v>
      </c>
      <c r="C456" s="16">
        <v>2024</v>
      </c>
      <c r="D456" s="16" t="s">
        <v>41</v>
      </c>
      <c r="E456" s="16" t="s">
        <v>34</v>
      </c>
      <c r="F456" s="16" t="s">
        <v>37</v>
      </c>
      <c r="G456" s="16">
        <v>53</v>
      </c>
      <c r="H456" s="16">
        <v>8451</v>
      </c>
      <c r="I456" s="16">
        <v>583.5</v>
      </c>
      <c r="J456" s="19">
        <v>0.68600000000000005</v>
      </c>
      <c r="K456" s="16">
        <v>81.7</v>
      </c>
      <c r="L456" s="19">
        <v>0.98099999999999998</v>
      </c>
      <c r="M456" s="19">
        <v>1.2E-2</v>
      </c>
      <c r="N456" s="21">
        <v>83739.899999999994</v>
      </c>
      <c r="O456" s="21">
        <v>59149.33</v>
      </c>
      <c r="P456" s="26">
        <v>24590.57</v>
      </c>
    </row>
    <row r="457" spans="1:16" x14ac:dyDescent="0.3">
      <c r="A457" s="25">
        <v>456</v>
      </c>
      <c r="B457" s="16" t="s">
        <v>48</v>
      </c>
      <c r="C457" s="16">
        <v>2024</v>
      </c>
      <c r="D457" s="16" t="s">
        <v>26</v>
      </c>
      <c r="E457" s="16" t="s">
        <v>30</v>
      </c>
      <c r="F457" s="16" t="s">
        <v>28</v>
      </c>
      <c r="G457" s="16">
        <v>62</v>
      </c>
      <c r="H457" s="16">
        <v>9204</v>
      </c>
      <c r="I457" s="16">
        <v>332.9</v>
      </c>
      <c r="J457" s="19">
        <v>0.748</v>
      </c>
      <c r="K457" s="16">
        <v>79.2</v>
      </c>
      <c r="L457" s="19">
        <v>0.74299999999999999</v>
      </c>
      <c r="M457" s="19">
        <v>3.3000000000000002E-2</v>
      </c>
      <c r="N457" s="21">
        <v>105972.45</v>
      </c>
      <c r="O457" s="21">
        <v>76301.72</v>
      </c>
      <c r="P457" s="26">
        <v>29670.73</v>
      </c>
    </row>
    <row r="458" spans="1:16" x14ac:dyDescent="0.3">
      <c r="A458" s="25">
        <v>457</v>
      </c>
      <c r="B458" s="16" t="s">
        <v>48</v>
      </c>
      <c r="C458" s="16">
        <v>2024</v>
      </c>
      <c r="D458" s="16" t="s">
        <v>26</v>
      </c>
      <c r="E458" s="16" t="s">
        <v>34</v>
      </c>
      <c r="F458" s="16" t="s">
        <v>28</v>
      </c>
      <c r="G458" s="16">
        <v>62</v>
      </c>
      <c r="H458" s="16">
        <v>11159</v>
      </c>
      <c r="I458" s="16">
        <v>454.8</v>
      </c>
      <c r="J458" s="19">
        <v>0.83699999999999997</v>
      </c>
      <c r="K458" s="16">
        <v>82.7</v>
      </c>
      <c r="L458" s="19">
        <v>0.871</v>
      </c>
      <c r="M458" s="19">
        <v>2.7E-2</v>
      </c>
      <c r="N458" s="21">
        <v>75684.070000000007</v>
      </c>
      <c r="O458" s="21">
        <v>49939.1</v>
      </c>
      <c r="P458" s="26">
        <v>25744.97</v>
      </c>
    </row>
    <row r="459" spans="1:16" x14ac:dyDescent="0.3">
      <c r="A459" s="25">
        <v>458</v>
      </c>
      <c r="B459" s="16" t="s">
        <v>48</v>
      </c>
      <c r="C459" s="16">
        <v>2024</v>
      </c>
      <c r="D459" s="16" t="s">
        <v>26</v>
      </c>
      <c r="E459" s="16" t="s">
        <v>30</v>
      </c>
      <c r="F459" s="16" t="s">
        <v>29</v>
      </c>
      <c r="G459" s="16">
        <v>47</v>
      </c>
      <c r="H459" s="16">
        <v>6116</v>
      </c>
      <c r="I459" s="16">
        <v>423.1</v>
      </c>
      <c r="J459" s="19">
        <v>0.73199999999999998</v>
      </c>
      <c r="K459" s="16">
        <v>72.8</v>
      </c>
      <c r="L459" s="19">
        <v>0.86399999999999999</v>
      </c>
      <c r="M459" s="19">
        <v>0.03</v>
      </c>
      <c r="N459" s="21">
        <v>50551.54</v>
      </c>
      <c r="O459" s="21">
        <v>36142.300000000003</v>
      </c>
      <c r="P459" s="26">
        <v>14409.24</v>
      </c>
    </row>
    <row r="460" spans="1:16" x14ac:dyDescent="0.3">
      <c r="A460" s="25">
        <v>459</v>
      </c>
      <c r="B460" s="16" t="s">
        <v>48</v>
      </c>
      <c r="C460" s="16">
        <v>2024</v>
      </c>
      <c r="D460" s="16" t="s">
        <v>26</v>
      </c>
      <c r="E460" s="16" t="s">
        <v>35</v>
      </c>
      <c r="F460" s="16" t="s">
        <v>29</v>
      </c>
      <c r="G460" s="16">
        <v>34</v>
      </c>
      <c r="H460" s="16">
        <v>5305</v>
      </c>
      <c r="I460" s="16">
        <v>339.8</v>
      </c>
      <c r="J460" s="19">
        <v>0.73199999999999998</v>
      </c>
      <c r="K460" s="16">
        <v>74.7</v>
      </c>
      <c r="L460" s="19">
        <v>0.93799999999999994</v>
      </c>
      <c r="M460" s="19">
        <v>3.3000000000000002E-2</v>
      </c>
      <c r="N460" s="21">
        <v>39727.949999999997</v>
      </c>
      <c r="O460" s="21">
        <v>25961.78</v>
      </c>
      <c r="P460" s="26">
        <v>13766.17</v>
      </c>
    </row>
    <row r="461" spans="1:16" x14ac:dyDescent="0.3">
      <c r="A461" s="25">
        <v>460</v>
      </c>
      <c r="B461" s="16" t="s">
        <v>48</v>
      </c>
      <c r="C461" s="16">
        <v>2024</v>
      </c>
      <c r="D461" s="16" t="s">
        <v>26</v>
      </c>
      <c r="E461" s="16" t="s">
        <v>27</v>
      </c>
      <c r="F461" s="16" t="s">
        <v>33</v>
      </c>
      <c r="G461" s="16">
        <v>56</v>
      </c>
      <c r="H461" s="16">
        <v>7626</v>
      </c>
      <c r="I461" s="16">
        <v>452.3</v>
      </c>
      <c r="J461" s="19">
        <v>0.755</v>
      </c>
      <c r="K461" s="16">
        <v>78.900000000000006</v>
      </c>
      <c r="L461" s="19">
        <v>0.9</v>
      </c>
      <c r="M461" s="19">
        <v>1.0999999999999999E-2</v>
      </c>
      <c r="N461" s="21">
        <v>65094.27</v>
      </c>
      <c r="O461" s="21">
        <v>41642.82</v>
      </c>
      <c r="P461" s="26">
        <v>23451.45</v>
      </c>
    </row>
    <row r="462" spans="1:16" x14ac:dyDescent="0.3">
      <c r="A462" s="25">
        <v>461</v>
      </c>
      <c r="B462" s="16" t="s">
        <v>48</v>
      </c>
      <c r="C462" s="16">
        <v>2024</v>
      </c>
      <c r="D462" s="16" t="s">
        <v>26</v>
      </c>
      <c r="E462" s="16" t="s">
        <v>31</v>
      </c>
      <c r="F462" s="16" t="s">
        <v>33</v>
      </c>
      <c r="G462" s="16">
        <v>38</v>
      </c>
      <c r="H462" s="16">
        <v>5540</v>
      </c>
      <c r="I462" s="16">
        <v>424.9</v>
      </c>
      <c r="J462" s="19">
        <v>0.65300000000000002</v>
      </c>
      <c r="K462" s="16">
        <v>85.9</v>
      </c>
      <c r="L462" s="19">
        <v>0.84599999999999997</v>
      </c>
      <c r="M462" s="19">
        <v>2.4E-2</v>
      </c>
      <c r="N462" s="21">
        <v>47422.64</v>
      </c>
      <c r="O462" s="21">
        <v>32184.58</v>
      </c>
      <c r="P462" s="26">
        <v>15238.06</v>
      </c>
    </row>
    <row r="463" spans="1:16" x14ac:dyDescent="0.3">
      <c r="A463" s="25">
        <v>462</v>
      </c>
      <c r="B463" s="16" t="s">
        <v>48</v>
      </c>
      <c r="C463" s="16">
        <v>2024</v>
      </c>
      <c r="D463" s="16" t="s">
        <v>26</v>
      </c>
      <c r="E463" s="16" t="s">
        <v>32</v>
      </c>
      <c r="F463" s="16" t="s">
        <v>36</v>
      </c>
      <c r="G463" s="16">
        <v>37</v>
      </c>
      <c r="H463" s="16">
        <v>6004</v>
      </c>
      <c r="I463" s="16">
        <v>933.1</v>
      </c>
      <c r="J463" s="19">
        <v>0.70899999999999996</v>
      </c>
      <c r="K463" s="16">
        <v>76.599999999999994</v>
      </c>
      <c r="L463" s="19">
        <v>0.96399999999999997</v>
      </c>
      <c r="M463" s="19">
        <v>0.03</v>
      </c>
      <c r="N463" s="21">
        <v>42879.37</v>
      </c>
      <c r="O463" s="21">
        <v>31004.959999999999</v>
      </c>
      <c r="P463" s="26">
        <v>11874.41</v>
      </c>
    </row>
    <row r="464" spans="1:16" x14ac:dyDescent="0.3">
      <c r="A464" s="25">
        <v>463</v>
      </c>
      <c r="B464" s="16" t="s">
        <v>48</v>
      </c>
      <c r="C464" s="16">
        <v>2024</v>
      </c>
      <c r="D464" s="16" t="s">
        <v>26</v>
      </c>
      <c r="E464" s="16" t="s">
        <v>27</v>
      </c>
      <c r="F464" s="16" t="s">
        <v>36</v>
      </c>
      <c r="G464" s="16">
        <v>69</v>
      </c>
      <c r="H464" s="16">
        <v>9972</v>
      </c>
      <c r="I464" s="16">
        <v>923.5</v>
      </c>
      <c r="J464" s="19">
        <v>0.78500000000000003</v>
      </c>
      <c r="K464" s="16">
        <v>85.2</v>
      </c>
      <c r="L464" s="19">
        <v>0.873</v>
      </c>
      <c r="M464" s="19">
        <v>2.3E-2</v>
      </c>
      <c r="N464" s="21">
        <v>93520.63</v>
      </c>
      <c r="O464" s="21">
        <v>64922.92</v>
      </c>
      <c r="P464" s="26">
        <v>28597.71</v>
      </c>
    </row>
    <row r="465" spans="1:16" x14ac:dyDescent="0.3">
      <c r="A465" s="25">
        <v>464</v>
      </c>
      <c r="B465" s="16" t="s">
        <v>48</v>
      </c>
      <c r="C465" s="16">
        <v>2024</v>
      </c>
      <c r="D465" s="16" t="s">
        <v>26</v>
      </c>
      <c r="E465" s="16" t="s">
        <v>27</v>
      </c>
      <c r="F465" s="16" t="s">
        <v>37</v>
      </c>
      <c r="G465" s="16">
        <v>59</v>
      </c>
      <c r="H465" s="16">
        <v>8697</v>
      </c>
      <c r="I465" s="16">
        <v>645.29999999999995</v>
      </c>
      <c r="J465" s="19">
        <v>0.66300000000000003</v>
      </c>
      <c r="K465" s="16">
        <v>79.099999999999994</v>
      </c>
      <c r="L465" s="19">
        <v>0.92300000000000004</v>
      </c>
      <c r="M465" s="19">
        <v>0.03</v>
      </c>
      <c r="N465" s="21">
        <v>68789.240000000005</v>
      </c>
      <c r="O465" s="21">
        <v>43721.08</v>
      </c>
      <c r="P465" s="26">
        <v>25068.16</v>
      </c>
    </row>
    <row r="466" spans="1:16" x14ac:dyDescent="0.3">
      <c r="A466" s="25">
        <v>465</v>
      </c>
      <c r="B466" s="16" t="s">
        <v>48</v>
      </c>
      <c r="C466" s="16">
        <v>2024</v>
      </c>
      <c r="D466" s="16" t="s">
        <v>26</v>
      </c>
      <c r="E466" s="16" t="s">
        <v>34</v>
      </c>
      <c r="F466" s="16" t="s">
        <v>37</v>
      </c>
      <c r="G466" s="16">
        <v>53</v>
      </c>
      <c r="H466" s="16">
        <v>7188</v>
      </c>
      <c r="I466" s="16">
        <v>663.3</v>
      </c>
      <c r="J466" s="19">
        <v>0.63600000000000001</v>
      </c>
      <c r="K466" s="16">
        <v>88.7</v>
      </c>
      <c r="L466" s="19">
        <v>0.85599999999999998</v>
      </c>
      <c r="M466" s="19">
        <v>3.7999999999999999E-2</v>
      </c>
      <c r="N466" s="21">
        <v>49117.71</v>
      </c>
      <c r="O466" s="21">
        <v>37083.33</v>
      </c>
      <c r="P466" s="26">
        <v>12034.38</v>
      </c>
    </row>
    <row r="467" spans="1:16" x14ac:dyDescent="0.3">
      <c r="A467" s="25">
        <v>466</v>
      </c>
      <c r="B467" s="16" t="s">
        <v>48</v>
      </c>
      <c r="C467" s="16">
        <v>2024</v>
      </c>
      <c r="D467" s="16" t="s">
        <v>26</v>
      </c>
      <c r="E467" s="16" t="s">
        <v>35</v>
      </c>
      <c r="F467" s="16" t="s">
        <v>37</v>
      </c>
      <c r="G467" s="16">
        <v>67</v>
      </c>
      <c r="H467" s="16">
        <v>9753</v>
      </c>
      <c r="I467" s="16">
        <v>623.29999999999995</v>
      </c>
      <c r="J467" s="19">
        <v>0.72</v>
      </c>
      <c r="K467" s="16">
        <v>85.3</v>
      </c>
      <c r="L467" s="19">
        <v>0.92900000000000005</v>
      </c>
      <c r="M467" s="19">
        <v>0.03</v>
      </c>
      <c r="N467" s="21">
        <v>81919.990000000005</v>
      </c>
      <c r="O467" s="21">
        <v>56717.67</v>
      </c>
      <c r="P467" s="26">
        <v>25202.32</v>
      </c>
    </row>
    <row r="468" spans="1:16" x14ac:dyDescent="0.3">
      <c r="A468" s="25">
        <v>467</v>
      </c>
      <c r="B468" s="16" t="s">
        <v>48</v>
      </c>
      <c r="C468" s="16">
        <v>2024</v>
      </c>
      <c r="D468" s="16" t="s">
        <v>38</v>
      </c>
      <c r="E468" s="16" t="s">
        <v>30</v>
      </c>
      <c r="F468" s="16" t="s">
        <v>28</v>
      </c>
      <c r="G468" s="16">
        <v>57</v>
      </c>
      <c r="H468" s="16">
        <v>7546</v>
      </c>
      <c r="I468" s="16">
        <v>406.9</v>
      </c>
      <c r="J468" s="19">
        <v>0.83</v>
      </c>
      <c r="K468" s="16">
        <v>85.1</v>
      </c>
      <c r="L468" s="19">
        <v>0.96199999999999997</v>
      </c>
      <c r="M468" s="19">
        <v>2.8000000000000001E-2</v>
      </c>
      <c r="N468" s="21">
        <v>77027.08</v>
      </c>
      <c r="O468" s="21">
        <v>53212.22</v>
      </c>
      <c r="P468" s="26">
        <v>23814.86</v>
      </c>
    </row>
    <row r="469" spans="1:16" x14ac:dyDescent="0.3">
      <c r="A469" s="25">
        <v>468</v>
      </c>
      <c r="B469" s="16" t="s">
        <v>48</v>
      </c>
      <c r="C469" s="16">
        <v>2024</v>
      </c>
      <c r="D469" s="16" t="s">
        <v>38</v>
      </c>
      <c r="E469" s="16" t="s">
        <v>31</v>
      </c>
      <c r="F469" s="16" t="s">
        <v>28</v>
      </c>
      <c r="G469" s="16">
        <v>29</v>
      </c>
      <c r="H469" s="16">
        <v>2984</v>
      </c>
      <c r="I469" s="16">
        <v>361.1</v>
      </c>
      <c r="J469" s="19">
        <v>0.69799999999999995</v>
      </c>
      <c r="K469" s="16">
        <v>90.9</v>
      </c>
      <c r="L469" s="19">
        <v>0.92300000000000004</v>
      </c>
      <c r="M469" s="19">
        <v>3.3000000000000002E-2</v>
      </c>
      <c r="N469" s="21">
        <v>26624.54</v>
      </c>
      <c r="O469" s="21">
        <v>19364.46</v>
      </c>
      <c r="P469" s="26">
        <v>7260.08</v>
      </c>
    </row>
    <row r="470" spans="1:16" x14ac:dyDescent="0.3">
      <c r="A470" s="25">
        <v>469</v>
      </c>
      <c r="B470" s="16" t="s">
        <v>48</v>
      </c>
      <c r="C470" s="16">
        <v>2024</v>
      </c>
      <c r="D470" s="16" t="s">
        <v>38</v>
      </c>
      <c r="E470" s="16" t="s">
        <v>27</v>
      </c>
      <c r="F470" s="16" t="s">
        <v>29</v>
      </c>
      <c r="G470" s="16">
        <v>53</v>
      </c>
      <c r="H470" s="16">
        <v>8887</v>
      </c>
      <c r="I470" s="16">
        <v>291.2</v>
      </c>
      <c r="J470" s="19">
        <v>0.65400000000000003</v>
      </c>
      <c r="K470" s="16">
        <v>82</v>
      </c>
      <c r="L470" s="19">
        <v>0.77400000000000002</v>
      </c>
      <c r="M470" s="19">
        <v>5.6000000000000001E-2</v>
      </c>
      <c r="N470" s="21">
        <v>72972.37</v>
      </c>
      <c r="O470" s="21">
        <v>46194.12</v>
      </c>
      <c r="P470" s="26">
        <v>26778.25</v>
      </c>
    </row>
    <row r="471" spans="1:16" x14ac:dyDescent="0.3">
      <c r="A471" s="25">
        <v>470</v>
      </c>
      <c r="B471" s="16" t="s">
        <v>48</v>
      </c>
      <c r="C471" s="16">
        <v>2024</v>
      </c>
      <c r="D471" s="16" t="s">
        <v>38</v>
      </c>
      <c r="E471" s="16" t="s">
        <v>34</v>
      </c>
      <c r="F471" s="16" t="s">
        <v>29</v>
      </c>
      <c r="G471" s="16">
        <v>31</v>
      </c>
      <c r="H471" s="16">
        <v>3018</v>
      </c>
      <c r="I471" s="16">
        <v>312.5</v>
      </c>
      <c r="J471" s="19">
        <v>0.75700000000000001</v>
      </c>
      <c r="K471" s="16">
        <v>72.8</v>
      </c>
      <c r="L471" s="19">
        <v>0.85799999999999998</v>
      </c>
      <c r="M471" s="19">
        <v>3.3000000000000002E-2</v>
      </c>
      <c r="N471" s="21">
        <v>46325.98</v>
      </c>
      <c r="O471" s="21">
        <v>30129.93</v>
      </c>
      <c r="P471" s="26">
        <v>16196.05</v>
      </c>
    </row>
    <row r="472" spans="1:16" x14ac:dyDescent="0.3">
      <c r="A472" s="25">
        <v>471</v>
      </c>
      <c r="B472" s="16" t="s">
        <v>48</v>
      </c>
      <c r="C472" s="16">
        <v>2024</v>
      </c>
      <c r="D472" s="16" t="s">
        <v>38</v>
      </c>
      <c r="E472" s="16" t="s">
        <v>27</v>
      </c>
      <c r="F472" s="16" t="s">
        <v>33</v>
      </c>
      <c r="G472" s="16">
        <v>60</v>
      </c>
      <c r="H472" s="16">
        <v>8862</v>
      </c>
      <c r="I472" s="16">
        <v>450.6</v>
      </c>
      <c r="J472" s="19">
        <v>0.73199999999999998</v>
      </c>
      <c r="K472" s="16">
        <v>94</v>
      </c>
      <c r="L472" s="19">
        <v>0.90100000000000002</v>
      </c>
      <c r="M472" s="19">
        <v>3.9E-2</v>
      </c>
      <c r="N472" s="21">
        <v>79047.59</v>
      </c>
      <c r="O472" s="21">
        <v>49484.15</v>
      </c>
      <c r="P472" s="26">
        <v>29563.439999999999</v>
      </c>
    </row>
    <row r="473" spans="1:16" x14ac:dyDescent="0.3">
      <c r="A473" s="25">
        <v>472</v>
      </c>
      <c r="B473" s="16" t="s">
        <v>48</v>
      </c>
      <c r="C473" s="16">
        <v>2024</v>
      </c>
      <c r="D473" s="16" t="s">
        <v>38</v>
      </c>
      <c r="E473" s="16" t="s">
        <v>30</v>
      </c>
      <c r="F473" s="16" t="s">
        <v>33</v>
      </c>
      <c r="G473" s="16">
        <v>13</v>
      </c>
      <c r="H473" s="16">
        <v>2271</v>
      </c>
      <c r="I473" s="16">
        <v>486.2</v>
      </c>
      <c r="J473" s="19">
        <v>0.76400000000000001</v>
      </c>
      <c r="K473" s="16">
        <v>85.7</v>
      </c>
      <c r="L473" s="19">
        <v>0.88900000000000001</v>
      </c>
      <c r="M473" s="19">
        <v>2.5000000000000001E-2</v>
      </c>
      <c r="N473" s="21">
        <v>14274.64</v>
      </c>
      <c r="O473" s="21">
        <v>9890.5300000000007</v>
      </c>
      <c r="P473" s="26">
        <v>4384.1099999999997</v>
      </c>
    </row>
    <row r="474" spans="1:16" x14ac:dyDescent="0.3">
      <c r="A474" s="25">
        <v>473</v>
      </c>
      <c r="B474" s="16" t="s">
        <v>48</v>
      </c>
      <c r="C474" s="16">
        <v>2024</v>
      </c>
      <c r="D474" s="16" t="s">
        <v>38</v>
      </c>
      <c r="E474" s="16" t="s">
        <v>34</v>
      </c>
      <c r="F474" s="16" t="s">
        <v>33</v>
      </c>
      <c r="G474" s="16">
        <v>29</v>
      </c>
      <c r="H474" s="16">
        <v>3815</v>
      </c>
      <c r="I474" s="16">
        <v>531.5</v>
      </c>
      <c r="J474" s="19">
        <v>0.74099999999999999</v>
      </c>
      <c r="K474" s="16">
        <v>79.8</v>
      </c>
      <c r="L474" s="19">
        <v>0.94399999999999995</v>
      </c>
      <c r="M474" s="19">
        <v>4.4999999999999998E-2</v>
      </c>
      <c r="N474" s="21">
        <v>42770.03</v>
      </c>
      <c r="O474" s="21">
        <v>33140.71</v>
      </c>
      <c r="P474" s="26">
        <v>9629.32</v>
      </c>
    </row>
    <row r="475" spans="1:16" x14ac:dyDescent="0.3">
      <c r="A475" s="25">
        <v>474</v>
      </c>
      <c r="B475" s="16" t="s">
        <v>48</v>
      </c>
      <c r="C475" s="16">
        <v>2024</v>
      </c>
      <c r="D475" s="16" t="s">
        <v>38</v>
      </c>
      <c r="E475" s="16" t="s">
        <v>31</v>
      </c>
      <c r="F475" s="16" t="s">
        <v>33</v>
      </c>
      <c r="G475" s="16">
        <v>55</v>
      </c>
      <c r="H475" s="16">
        <v>9948</v>
      </c>
      <c r="I475" s="16">
        <v>567.4</v>
      </c>
      <c r="J475" s="19">
        <v>0.69899999999999995</v>
      </c>
      <c r="K475" s="16">
        <v>94.1</v>
      </c>
      <c r="L475" s="19">
        <v>0.93</v>
      </c>
      <c r="M475" s="19">
        <v>3.5999999999999997E-2</v>
      </c>
      <c r="N475" s="21">
        <v>55779.34</v>
      </c>
      <c r="O475" s="21">
        <v>35369.83</v>
      </c>
      <c r="P475" s="26">
        <v>20409.509999999998</v>
      </c>
    </row>
    <row r="476" spans="1:16" x14ac:dyDescent="0.3">
      <c r="A476" s="25">
        <v>475</v>
      </c>
      <c r="B476" s="16" t="s">
        <v>48</v>
      </c>
      <c r="C476" s="16">
        <v>2024</v>
      </c>
      <c r="D476" s="16" t="s">
        <v>38</v>
      </c>
      <c r="E476" s="16" t="s">
        <v>32</v>
      </c>
      <c r="F476" s="16" t="s">
        <v>36</v>
      </c>
      <c r="G476" s="16">
        <v>44</v>
      </c>
      <c r="H476" s="16">
        <v>4746</v>
      </c>
      <c r="I476" s="16">
        <v>873.4</v>
      </c>
      <c r="J476" s="19">
        <v>0.58599999999999997</v>
      </c>
      <c r="K476" s="16">
        <v>87.1</v>
      </c>
      <c r="L476" s="19">
        <v>0.88700000000000001</v>
      </c>
      <c r="M476" s="19">
        <v>0.04</v>
      </c>
      <c r="N476" s="21">
        <v>53442.27</v>
      </c>
      <c r="O476" s="21">
        <v>40602.11</v>
      </c>
      <c r="P476" s="26">
        <v>12840.16</v>
      </c>
    </row>
    <row r="477" spans="1:16" x14ac:dyDescent="0.3">
      <c r="A477" s="25">
        <v>476</v>
      </c>
      <c r="B477" s="16" t="s">
        <v>48</v>
      </c>
      <c r="C477" s="16">
        <v>2024</v>
      </c>
      <c r="D477" s="16" t="s">
        <v>38</v>
      </c>
      <c r="E477" s="16" t="s">
        <v>30</v>
      </c>
      <c r="F477" s="16" t="s">
        <v>36</v>
      </c>
      <c r="G477" s="16">
        <v>26</v>
      </c>
      <c r="H477" s="16">
        <v>3112</v>
      </c>
      <c r="I477" s="16">
        <v>928.4</v>
      </c>
      <c r="J477" s="19">
        <v>0.70099999999999996</v>
      </c>
      <c r="K477" s="16">
        <v>84.3</v>
      </c>
      <c r="L477" s="19">
        <v>0.88200000000000001</v>
      </c>
      <c r="M477" s="19">
        <v>2.8000000000000001E-2</v>
      </c>
      <c r="N477" s="21">
        <v>39265.339999999997</v>
      </c>
      <c r="O477" s="21">
        <v>25595.7</v>
      </c>
      <c r="P477" s="26">
        <v>13669.64</v>
      </c>
    </row>
    <row r="478" spans="1:16" x14ac:dyDescent="0.3">
      <c r="A478" s="25">
        <v>477</v>
      </c>
      <c r="B478" s="16" t="s">
        <v>48</v>
      </c>
      <c r="C478" s="16">
        <v>2024</v>
      </c>
      <c r="D478" s="16" t="s">
        <v>38</v>
      </c>
      <c r="E478" s="16" t="s">
        <v>35</v>
      </c>
      <c r="F478" s="16" t="s">
        <v>36</v>
      </c>
      <c r="G478" s="16">
        <v>45</v>
      </c>
      <c r="H478" s="16">
        <v>7523</v>
      </c>
      <c r="I478" s="16">
        <v>899.2</v>
      </c>
      <c r="J478" s="19">
        <v>0.71699999999999997</v>
      </c>
      <c r="K478" s="16">
        <v>79.099999999999994</v>
      </c>
      <c r="L478" s="19">
        <v>0.93700000000000006</v>
      </c>
      <c r="M478" s="19">
        <v>0.03</v>
      </c>
      <c r="N478" s="21">
        <v>47613.53</v>
      </c>
      <c r="O478" s="21">
        <v>35016.51</v>
      </c>
      <c r="P478" s="26">
        <v>12597.02</v>
      </c>
    </row>
    <row r="479" spans="1:16" x14ac:dyDescent="0.3">
      <c r="A479" s="25">
        <v>478</v>
      </c>
      <c r="B479" s="16" t="s">
        <v>48</v>
      </c>
      <c r="C479" s="16">
        <v>2024</v>
      </c>
      <c r="D479" s="16" t="s">
        <v>38</v>
      </c>
      <c r="E479" s="16" t="s">
        <v>32</v>
      </c>
      <c r="F479" s="16" t="s">
        <v>37</v>
      </c>
      <c r="G479" s="16">
        <v>45</v>
      </c>
      <c r="H479" s="16">
        <v>7076</v>
      </c>
      <c r="I479" s="16">
        <v>673.4</v>
      </c>
      <c r="J479" s="19">
        <v>0.76900000000000002</v>
      </c>
      <c r="K479" s="16">
        <v>77</v>
      </c>
      <c r="L479" s="19">
        <v>0.90500000000000003</v>
      </c>
      <c r="M479" s="19">
        <v>3.3000000000000002E-2</v>
      </c>
      <c r="N479" s="21">
        <v>54224.01</v>
      </c>
      <c r="O479" s="21">
        <v>35951.49</v>
      </c>
      <c r="P479" s="26">
        <v>18272.52</v>
      </c>
    </row>
    <row r="480" spans="1:16" x14ac:dyDescent="0.3">
      <c r="A480" s="25">
        <v>479</v>
      </c>
      <c r="B480" s="16" t="s">
        <v>48</v>
      </c>
      <c r="C480" s="16">
        <v>2024</v>
      </c>
      <c r="D480" s="16" t="s">
        <v>38</v>
      </c>
      <c r="E480" s="16" t="s">
        <v>30</v>
      </c>
      <c r="F480" s="16" t="s">
        <v>37</v>
      </c>
      <c r="G480" s="16">
        <v>46</v>
      </c>
      <c r="H480" s="16">
        <v>6064</v>
      </c>
      <c r="I480" s="16">
        <v>679.7</v>
      </c>
      <c r="J480" s="19">
        <v>0.68200000000000005</v>
      </c>
      <c r="K480" s="16">
        <v>78.3</v>
      </c>
      <c r="L480" s="19">
        <v>0.97199999999999998</v>
      </c>
      <c r="M480" s="19">
        <v>3.2000000000000001E-2</v>
      </c>
      <c r="N480" s="21">
        <v>61140.34</v>
      </c>
      <c r="O480" s="21">
        <v>47658.64</v>
      </c>
      <c r="P480" s="26">
        <v>13481.7</v>
      </c>
    </row>
    <row r="481" spans="1:16" x14ac:dyDescent="0.3">
      <c r="A481" s="25">
        <v>480</v>
      </c>
      <c r="B481" s="16" t="s">
        <v>48</v>
      </c>
      <c r="C481" s="16">
        <v>2024</v>
      </c>
      <c r="D481" s="16" t="s">
        <v>38</v>
      </c>
      <c r="E481" s="16" t="s">
        <v>35</v>
      </c>
      <c r="F481" s="16" t="s">
        <v>37</v>
      </c>
      <c r="G481" s="16">
        <v>51</v>
      </c>
      <c r="H481" s="16">
        <v>6026</v>
      </c>
      <c r="I481" s="16">
        <v>640</v>
      </c>
      <c r="J481" s="19">
        <v>0.67400000000000004</v>
      </c>
      <c r="K481" s="16">
        <v>75.599999999999994</v>
      </c>
      <c r="L481" s="19">
        <v>0.91900000000000004</v>
      </c>
      <c r="M481" s="19">
        <v>2.4E-2</v>
      </c>
      <c r="N481" s="21">
        <v>66719.58</v>
      </c>
      <c r="O481" s="21">
        <v>44227.58</v>
      </c>
      <c r="P481" s="26">
        <v>22492</v>
      </c>
    </row>
    <row r="482" spans="1:16" x14ac:dyDescent="0.3">
      <c r="A482" s="25">
        <v>481</v>
      </c>
      <c r="B482" s="16" t="s">
        <v>48</v>
      </c>
      <c r="C482" s="16">
        <v>2024</v>
      </c>
      <c r="D482" s="16" t="s">
        <v>39</v>
      </c>
      <c r="E482" s="16" t="s">
        <v>32</v>
      </c>
      <c r="F482" s="16" t="s">
        <v>28</v>
      </c>
      <c r="G482" s="16">
        <v>45</v>
      </c>
      <c r="H482" s="16">
        <v>5738</v>
      </c>
      <c r="I482" s="16">
        <v>448.2</v>
      </c>
      <c r="J482" s="19">
        <v>0.85099999999999998</v>
      </c>
      <c r="K482" s="16">
        <v>83.4</v>
      </c>
      <c r="L482" s="19">
        <v>0.90200000000000002</v>
      </c>
      <c r="M482" s="19">
        <v>4.1000000000000002E-2</v>
      </c>
      <c r="N482" s="21">
        <v>82235.13</v>
      </c>
      <c r="O482" s="21">
        <v>52526.07</v>
      </c>
      <c r="P482" s="26">
        <v>29709.06</v>
      </c>
    </row>
    <row r="483" spans="1:16" x14ac:dyDescent="0.3">
      <c r="A483" s="25">
        <v>482</v>
      </c>
      <c r="B483" s="16" t="s">
        <v>48</v>
      </c>
      <c r="C483" s="16">
        <v>2024</v>
      </c>
      <c r="D483" s="16" t="s">
        <v>39</v>
      </c>
      <c r="E483" s="16" t="s">
        <v>34</v>
      </c>
      <c r="F483" s="16" t="s">
        <v>28</v>
      </c>
      <c r="G483" s="16">
        <v>80</v>
      </c>
      <c r="H483" s="16">
        <v>10672</v>
      </c>
      <c r="I483" s="16">
        <v>445.8</v>
      </c>
      <c r="J483" s="19">
        <v>0.77900000000000003</v>
      </c>
      <c r="K483" s="16">
        <v>74.8</v>
      </c>
      <c r="L483" s="19">
        <v>0.94499999999999995</v>
      </c>
      <c r="M483" s="19">
        <v>1.0999999999999999E-2</v>
      </c>
      <c r="N483" s="21">
        <v>149552.09</v>
      </c>
      <c r="O483" s="21">
        <v>99875.1</v>
      </c>
      <c r="P483" s="26">
        <v>49676.99</v>
      </c>
    </row>
    <row r="484" spans="1:16" x14ac:dyDescent="0.3">
      <c r="A484" s="25">
        <v>483</v>
      </c>
      <c r="B484" s="16" t="s">
        <v>48</v>
      </c>
      <c r="C484" s="16">
        <v>2024</v>
      </c>
      <c r="D484" s="16" t="s">
        <v>39</v>
      </c>
      <c r="E484" s="16" t="s">
        <v>32</v>
      </c>
      <c r="F484" s="16" t="s">
        <v>29</v>
      </c>
      <c r="G484" s="16">
        <v>40</v>
      </c>
      <c r="H484" s="16">
        <v>4916</v>
      </c>
      <c r="I484" s="16">
        <v>274</v>
      </c>
      <c r="J484" s="19">
        <v>0.68700000000000006</v>
      </c>
      <c r="K484" s="16">
        <v>77.7</v>
      </c>
      <c r="L484" s="19">
        <v>0.93500000000000005</v>
      </c>
      <c r="M484" s="19">
        <v>2.1999999999999999E-2</v>
      </c>
      <c r="N484" s="21">
        <v>61566.82</v>
      </c>
      <c r="O484" s="21">
        <v>47186.18</v>
      </c>
      <c r="P484" s="26">
        <v>14380.64</v>
      </c>
    </row>
    <row r="485" spans="1:16" x14ac:dyDescent="0.3">
      <c r="A485" s="25">
        <v>484</v>
      </c>
      <c r="B485" s="16" t="s">
        <v>48</v>
      </c>
      <c r="C485" s="16">
        <v>2024</v>
      </c>
      <c r="D485" s="16" t="s">
        <v>39</v>
      </c>
      <c r="E485" s="16" t="s">
        <v>27</v>
      </c>
      <c r="F485" s="16" t="s">
        <v>29</v>
      </c>
      <c r="G485" s="16">
        <v>39</v>
      </c>
      <c r="H485" s="16">
        <v>5523</v>
      </c>
      <c r="I485" s="16">
        <v>320.8</v>
      </c>
      <c r="J485" s="19">
        <v>0.67600000000000005</v>
      </c>
      <c r="K485" s="16">
        <v>78.2</v>
      </c>
      <c r="L485" s="19">
        <v>0.93500000000000005</v>
      </c>
      <c r="M485" s="19">
        <v>4.3999999999999997E-2</v>
      </c>
      <c r="N485" s="21">
        <v>51063.66</v>
      </c>
      <c r="O485" s="21">
        <v>37600.519999999997</v>
      </c>
      <c r="P485" s="26">
        <v>13463.14</v>
      </c>
    </row>
    <row r="486" spans="1:16" x14ac:dyDescent="0.3">
      <c r="A486" s="25">
        <v>485</v>
      </c>
      <c r="B486" s="16" t="s">
        <v>48</v>
      </c>
      <c r="C486" s="16">
        <v>2024</v>
      </c>
      <c r="D486" s="16" t="s">
        <v>39</v>
      </c>
      <c r="E486" s="16" t="s">
        <v>30</v>
      </c>
      <c r="F486" s="16" t="s">
        <v>29</v>
      </c>
      <c r="G486" s="16">
        <v>38</v>
      </c>
      <c r="H486" s="16">
        <v>4921</v>
      </c>
      <c r="I486" s="16">
        <v>325.3</v>
      </c>
      <c r="J486" s="19">
        <v>0.61299999999999999</v>
      </c>
      <c r="K486" s="16">
        <v>75.900000000000006</v>
      </c>
      <c r="L486" s="19">
        <v>0.91100000000000003</v>
      </c>
      <c r="M486" s="19">
        <v>4.1000000000000002E-2</v>
      </c>
      <c r="N486" s="21">
        <v>57697.82</v>
      </c>
      <c r="O486" s="21">
        <v>44096.19</v>
      </c>
      <c r="P486" s="26">
        <v>13601.63</v>
      </c>
    </row>
    <row r="487" spans="1:16" x14ac:dyDescent="0.3">
      <c r="A487" s="25">
        <v>486</v>
      </c>
      <c r="B487" s="16" t="s">
        <v>48</v>
      </c>
      <c r="C487" s="16">
        <v>2024</v>
      </c>
      <c r="D487" s="16" t="s">
        <v>39</v>
      </c>
      <c r="E487" s="16" t="s">
        <v>34</v>
      </c>
      <c r="F487" s="16" t="s">
        <v>29</v>
      </c>
      <c r="G487" s="16">
        <v>56</v>
      </c>
      <c r="H487" s="16">
        <v>6649</v>
      </c>
      <c r="I487" s="16">
        <v>295.89999999999998</v>
      </c>
      <c r="J487" s="19">
        <v>0.70899999999999996</v>
      </c>
      <c r="K487" s="16">
        <v>71.900000000000006</v>
      </c>
      <c r="L487" s="19">
        <v>0.89800000000000002</v>
      </c>
      <c r="M487" s="19">
        <v>3.4000000000000002E-2</v>
      </c>
      <c r="N487" s="21">
        <v>61490.15</v>
      </c>
      <c r="O487" s="21">
        <v>38971.14</v>
      </c>
      <c r="P487" s="26">
        <v>22519.01</v>
      </c>
    </row>
    <row r="488" spans="1:16" x14ac:dyDescent="0.3">
      <c r="A488" s="25">
        <v>487</v>
      </c>
      <c r="B488" s="16" t="s">
        <v>48</v>
      </c>
      <c r="C488" s="16">
        <v>2024</v>
      </c>
      <c r="D488" s="16" t="s">
        <v>39</v>
      </c>
      <c r="E488" s="16" t="s">
        <v>31</v>
      </c>
      <c r="F488" s="16" t="s">
        <v>29</v>
      </c>
      <c r="G488" s="16">
        <v>27</v>
      </c>
      <c r="H488" s="16">
        <v>3763</v>
      </c>
      <c r="I488" s="16">
        <v>222.8</v>
      </c>
      <c r="J488" s="19">
        <v>0.61</v>
      </c>
      <c r="K488" s="16">
        <v>90.8</v>
      </c>
      <c r="L488" s="19">
        <v>0.84699999999999998</v>
      </c>
      <c r="M488" s="19">
        <v>3.6999999999999998E-2</v>
      </c>
      <c r="N488" s="21">
        <v>41841.629999999997</v>
      </c>
      <c r="O488" s="21">
        <v>26296.2</v>
      </c>
      <c r="P488" s="26">
        <v>15545.43</v>
      </c>
    </row>
    <row r="489" spans="1:16" x14ac:dyDescent="0.3">
      <c r="A489" s="25">
        <v>488</v>
      </c>
      <c r="B489" s="16" t="s">
        <v>48</v>
      </c>
      <c r="C489" s="16">
        <v>2024</v>
      </c>
      <c r="D489" s="16" t="s">
        <v>39</v>
      </c>
      <c r="E489" s="16" t="s">
        <v>35</v>
      </c>
      <c r="F489" s="16" t="s">
        <v>29</v>
      </c>
      <c r="G489" s="16">
        <v>30</v>
      </c>
      <c r="H489" s="16">
        <v>3887</v>
      </c>
      <c r="I489" s="16">
        <v>254</v>
      </c>
      <c r="J489" s="19">
        <v>0.66500000000000004</v>
      </c>
      <c r="K489" s="16">
        <v>84.8</v>
      </c>
      <c r="L489" s="19">
        <v>0.77600000000000002</v>
      </c>
      <c r="M489" s="19">
        <v>0.02</v>
      </c>
      <c r="N489" s="21">
        <v>47575.26</v>
      </c>
      <c r="O489" s="21">
        <v>32695.62</v>
      </c>
      <c r="P489" s="26">
        <v>14879.64</v>
      </c>
    </row>
    <row r="490" spans="1:16" x14ac:dyDescent="0.3">
      <c r="A490" s="25">
        <v>489</v>
      </c>
      <c r="B490" s="16" t="s">
        <v>48</v>
      </c>
      <c r="C490" s="16">
        <v>2024</v>
      </c>
      <c r="D490" s="16" t="s">
        <v>39</v>
      </c>
      <c r="E490" s="16" t="s">
        <v>32</v>
      </c>
      <c r="F490" s="16" t="s">
        <v>33</v>
      </c>
      <c r="G490" s="16">
        <v>51</v>
      </c>
      <c r="H490" s="16">
        <v>7301</v>
      </c>
      <c r="I490" s="16">
        <v>448.5</v>
      </c>
      <c r="J490" s="19">
        <v>0.65600000000000003</v>
      </c>
      <c r="K490" s="16">
        <v>88</v>
      </c>
      <c r="L490" s="19">
        <v>0.91500000000000004</v>
      </c>
      <c r="M490" s="19">
        <v>3.2000000000000001E-2</v>
      </c>
      <c r="N490" s="21">
        <v>63832.26</v>
      </c>
      <c r="O490" s="21">
        <v>43766.5</v>
      </c>
      <c r="P490" s="26">
        <v>20065.759999999998</v>
      </c>
    </row>
    <row r="491" spans="1:16" x14ac:dyDescent="0.3">
      <c r="A491" s="25">
        <v>490</v>
      </c>
      <c r="B491" s="16" t="s">
        <v>48</v>
      </c>
      <c r="C491" s="16">
        <v>2024</v>
      </c>
      <c r="D491" s="16" t="s">
        <v>39</v>
      </c>
      <c r="E491" s="16" t="s">
        <v>31</v>
      </c>
      <c r="F491" s="16" t="s">
        <v>33</v>
      </c>
      <c r="G491" s="16">
        <v>17</v>
      </c>
      <c r="H491" s="16">
        <v>2239</v>
      </c>
      <c r="I491" s="16">
        <v>521.20000000000005</v>
      </c>
      <c r="J491" s="19">
        <v>0.72</v>
      </c>
      <c r="K491" s="16">
        <v>78.8</v>
      </c>
      <c r="L491" s="19">
        <v>0.88</v>
      </c>
      <c r="M491" s="19">
        <v>3.9E-2</v>
      </c>
      <c r="N491" s="21">
        <v>23066.36</v>
      </c>
      <c r="O491" s="21">
        <v>17699.3</v>
      </c>
      <c r="P491" s="26">
        <v>5367.06</v>
      </c>
    </row>
    <row r="492" spans="1:16" x14ac:dyDescent="0.3">
      <c r="A492" s="25">
        <v>491</v>
      </c>
      <c r="B492" s="16" t="s">
        <v>48</v>
      </c>
      <c r="C492" s="16">
        <v>2024</v>
      </c>
      <c r="D492" s="16" t="s">
        <v>39</v>
      </c>
      <c r="E492" s="16" t="s">
        <v>35</v>
      </c>
      <c r="F492" s="16" t="s">
        <v>33</v>
      </c>
      <c r="G492" s="16">
        <v>80</v>
      </c>
      <c r="H492" s="16">
        <v>12288</v>
      </c>
      <c r="I492" s="16">
        <v>526.4</v>
      </c>
      <c r="J492" s="19">
        <v>0.71</v>
      </c>
      <c r="K492" s="16">
        <v>77.900000000000006</v>
      </c>
      <c r="L492" s="19">
        <v>0.90600000000000003</v>
      </c>
      <c r="M492" s="19">
        <v>3.1E-2</v>
      </c>
      <c r="N492" s="21">
        <v>98516.02</v>
      </c>
      <c r="O492" s="21">
        <v>75842.679999999993</v>
      </c>
      <c r="P492" s="26">
        <v>22673.34</v>
      </c>
    </row>
    <row r="493" spans="1:16" x14ac:dyDescent="0.3">
      <c r="A493" s="25">
        <v>492</v>
      </c>
      <c r="B493" s="16" t="s">
        <v>48</v>
      </c>
      <c r="C493" s="16">
        <v>2024</v>
      </c>
      <c r="D493" s="16" t="s">
        <v>39</v>
      </c>
      <c r="E493" s="16" t="s">
        <v>27</v>
      </c>
      <c r="F493" s="16" t="s">
        <v>36</v>
      </c>
      <c r="G493" s="16">
        <v>33</v>
      </c>
      <c r="H493" s="16">
        <v>5059</v>
      </c>
      <c r="I493" s="16">
        <v>866.2</v>
      </c>
      <c r="J493" s="19">
        <v>0.73899999999999999</v>
      </c>
      <c r="K493" s="16">
        <v>82.2</v>
      </c>
      <c r="L493" s="19">
        <v>0.86599999999999999</v>
      </c>
      <c r="M493" s="19">
        <v>7.0000000000000001E-3</v>
      </c>
      <c r="N493" s="21">
        <v>51246.54</v>
      </c>
      <c r="O493" s="21">
        <v>35104.83</v>
      </c>
      <c r="P493" s="26">
        <v>16141.71</v>
      </c>
    </row>
    <row r="494" spans="1:16" x14ac:dyDescent="0.3">
      <c r="A494" s="25">
        <v>493</v>
      </c>
      <c r="B494" s="16" t="s">
        <v>48</v>
      </c>
      <c r="C494" s="16">
        <v>2024</v>
      </c>
      <c r="D494" s="16" t="s">
        <v>39</v>
      </c>
      <c r="E494" s="16" t="s">
        <v>31</v>
      </c>
      <c r="F494" s="16" t="s">
        <v>36</v>
      </c>
      <c r="G494" s="16">
        <v>51</v>
      </c>
      <c r="H494" s="16">
        <v>6679</v>
      </c>
      <c r="I494" s="16">
        <v>921.3</v>
      </c>
      <c r="J494" s="19">
        <v>0.81</v>
      </c>
      <c r="K494" s="16">
        <v>78.3</v>
      </c>
      <c r="L494" s="19">
        <v>0.92400000000000004</v>
      </c>
      <c r="M494" s="19">
        <v>4.7E-2</v>
      </c>
      <c r="N494" s="21">
        <v>71360.41</v>
      </c>
      <c r="O494" s="21">
        <v>50233.99</v>
      </c>
      <c r="P494" s="26">
        <v>21126.42</v>
      </c>
    </row>
    <row r="495" spans="1:16" x14ac:dyDescent="0.3">
      <c r="A495" s="25">
        <v>494</v>
      </c>
      <c r="B495" s="16" t="s">
        <v>48</v>
      </c>
      <c r="C495" s="16">
        <v>2024</v>
      </c>
      <c r="D495" s="16" t="s">
        <v>39</v>
      </c>
      <c r="E495" s="16" t="s">
        <v>35</v>
      </c>
      <c r="F495" s="16" t="s">
        <v>36</v>
      </c>
      <c r="G495" s="16">
        <v>55</v>
      </c>
      <c r="H495" s="16">
        <v>7399</v>
      </c>
      <c r="I495" s="16">
        <v>868.1</v>
      </c>
      <c r="J495" s="19">
        <v>0.71</v>
      </c>
      <c r="K495" s="16">
        <v>89.9</v>
      </c>
      <c r="L495" s="19">
        <v>0.89800000000000002</v>
      </c>
      <c r="M495" s="19">
        <v>2.7E-2</v>
      </c>
      <c r="N495" s="21">
        <v>95218.3</v>
      </c>
      <c r="O495" s="21">
        <v>72666.759999999995</v>
      </c>
      <c r="P495" s="26">
        <v>22551.54</v>
      </c>
    </row>
    <row r="496" spans="1:16" x14ac:dyDescent="0.3">
      <c r="A496" s="25">
        <v>495</v>
      </c>
      <c r="B496" s="16" t="s">
        <v>48</v>
      </c>
      <c r="C496" s="16">
        <v>2024</v>
      </c>
      <c r="D496" s="16" t="s">
        <v>39</v>
      </c>
      <c r="E496" s="16" t="s">
        <v>30</v>
      </c>
      <c r="F496" s="16" t="s">
        <v>37</v>
      </c>
      <c r="G496" s="16">
        <v>49</v>
      </c>
      <c r="H496" s="16">
        <v>7385</v>
      </c>
      <c r="I496" s="16">
        <v>644</v>
      </c>
      <c r="J496" s="19">
        <v>0.72899999999999998</v>
      </c>
      <c r="K496" s="16">
        <v>76.3</v>
      </c>
      <c r="L496" s="19">
        <v>0.80800000000000005</v>
      </c>
      <c r="M496" s="19">
        <v>2.3E-2</v>
      </c>
      <c r="N496" s="21">
        <v>67148.41</v>
      </c>
      <c r="O496" s="21">
        <v>45076.11</v>
      </c>
      <c r="P496" s="26">
        <v>22072.3</v>
      </c>
    </row>
    <row r="497" spans="1:16" x14ac:dyDescent="0.3">
      <c r="A497" s="25">
        <v>496</v>
      </c>
      <c r="B497" s="16" t="s">
        <v>48</v>
      </c>
      <c r="C497" s="16">
        <v>2024</v>
      </c>
      <c r="D497" s="16" t="s">
        <v>39</v>
      </c>
      <c r="E497" s="16" t="s">
        <v>35</v>
      </c>
      <c r="F497" s="16" t="s">
        <v>37</v>
      </c>
      <c r="G497" s="16">
        <v>15</v>
      </c>
      <c r="H497" s="16">
        <v>1892</v>
      </c>
      <c r="I497" s="16">
        <v>678.4</v>
      </c>
      <c r="J497" s="19">
        <v>0.69699999999999995</v>
      </c>
      <c r="K497" s="16">
        <v>75.2</v>
      </c>
      <c r="L497" s="19">
        <v>0.86</v>
      </c>
      <c r="M497" s="19">
        <v>4.2000000000000003E-2</v>
      </c>
      <c r="N497" s="21">
        <v>22741.84</v>
      </c>
      <c r="O497" s="21">
        <v>14574.13</v>
      </c>
      <c r="P497" s="26">
        <v>8167.71</v>
      </c>
    </row>
    <row r="498" spans="1:16" x14ac:dyDescent="0.3">
      <c r="A498" s="25">
        <v>497</v>
      </c>
      <c r="B498" s="16" t="s">
        <v>48</v>
      </c>
      <c r="C498" s="16">
        <v>2024</v>
      </c>
      <c r="D498" s="16" t="s">
        <v>40</v>
      </c>
      <c r="E498" s="16" t="s">
        <v>27</v>
      </c>
      <c r="F498" s="16" t="s">
        <v>28</v>
      </c>
      <c r="G498" s="16">
        <v>24</v>
      </c>
      <c r="H498" s="16">
        <v>3643</v>
      </c>
      <c r="I498" s="16">
        <v>471.6</v>
      </c>
      <c r="J498" s="19">
        <v>0.93500000000000005</v>
      </c>
      <c r="K498" s="16">
        <v>77</v>
      </c>
      <c r="L498" s="19">
        <v>0.875</v>
      </c>
      <c r="M498" s="19">
        <v>3.2000000000000001E-2</v>
      </c>
      <c r="N498" s="21">
        <v>44757.599999999999</v>
      </c>
      <c r="O498" s="21">
        <v>32720.54</v>
      </c>
      <c r="P498" s="26">
        <v>12037.06</v>
      </c>
    </row>
    <row r="499" spans="1:16" x14ac:dyDescent="0.3">
      <c r="A499" s="25">
        <v>498</v>
      </c>
      <c r="B499" s="16" t="s">
        <v>48</v>
      </c>
      <c r="C499" s="16">
        <v>2024</v>
      </c>
      <c r="D499" s="16" t="s">
        <v>40</v>
      </c>
      <c r="E499" s="16" t="s">
        <v>27</v>
      </c>
      <c r="F499" s="16" t="s">
        <v>29</v>
      </c>
      <c r="G499" s="16">
        <v>55</v>
      </c>
      <c r="H499" s="16">
        <v>6623</v>
      </c>
      <c r="I499" s="16">
        <v>311.10000000000002</v>
      </c>
      <c r="J499" s="19">
        <v>0.73099999999999998</v>
      </c>
      <c r="K499" s="16">
        <v>84.1</v>
      </c>
      <c r="L499" s="19">
        <v>0.96699999999999997</v>
      </c>
      <c r="M499" s="19">
        <v>3.6999999999999998E-2</v>
      </c>
      <c r="N499" s="21">
        <v>71846.62</v>
      </c>
      <c r="O499" s="21">
        <v>47932.63</v>
      </c>
      <c r="P499" s="26">
        <v>23913.99</v>
      </c>
    </row>
    <row r="500" spans="1:16" x14ac:dyDescent="0.3">
      <c r="A500" s="25">
        <v>499</v>
      </c>
      <c r="B500" s="16" t="s">
        <v>48</v>
      </c>
      <c r="C500" s="16">
        <v>2024</v>
      </c>
      <c r="D500" s="16" t="s">
        <v>40</v>
      </c>
      <c r="E500" s="16" t="s">
        <v>30</v>
      </c>
      <c r="F500" s="16" t="s">
        <v>29</v>
      </c>
      <c r="G500" s="16">
        <v>34</v>
      </c>
      <c r="H500" s="16">
        <v>5557</v>
      </c>
      <c r="I500" s="16">
        <v>284.60000000000002</v>
      </c>
      <c r="J500" s="19">
        <v>0.53800000000000003</v>
      </c>
      <c r="K500" s="16">
        <v>90.1</v>
      </c>
      <c r="L500" s="19">
        <v>0.94599999999999995</v>
      </c>
      <c r="M500" s="19">
        <v>3.1E-2</v>
      </c>
      <c r="N500" s="21">
        <v>33663.86</v>
      </c>
      <c r="O500" s="21">
        <v>25308.46</v>
      </c>
      <c r="P500" s="26">
        <v>8355.4</v>
      </c>
    </row>
    <row r="501" spans="1:16" x14ac:dyDescent="0.3">
      <c r="A501" s="25">
        <v>500</v>
      </c>
      <c r="B501" s="16" t="s">
        <v>48</v>
      </c>
      <c r="C501" s="16">
        <v>2024</v>
      </c>
      <c r="D501" s="16" t="s">
        <v>40</v>
      </c>
      <c r="E501" s="16" t="s">
        <v>34</v>
      </c>
      <c r="F501" s="16" t="s">
        <v>29</v>
      </c>
      <c r="G501" s="16">
        <v>32</v>
      </c>
      <c r="H501" s="16">
        <v>4360</v>
      </c>
      <c r="I501" s="16">
        <v>240</v>
      </c>
      <c r="J501" s="19">
        <v>0.629</v>
      </c>
      <c r="K501" s="16">
        <v>84.9</v>
      </c>
      <c r="L501" s="19">
        <v>1</v>
      </c>
      <c r="M501" s="19">
        <v>1.7999999999999999E-2</v>
      </c>
      <c r="N501" s="21">
        <v>32615.19</v>
      </c>
      <c r="O501" s="21">
        <v>20689.259999999998</v>
      </c>
      <c r="P501" s="26">
        <v>11925.93</v>
      </c>
    </row>
    <row r="502" spans="1:16" x14ac:dyDescent="0.3">
      <c r="A502" s="25">
        <v>501</v>
      </c>
      <c r="B502" s="16" t="s">
        <v>48</v>
      </c>
      <c r="C502" s="16">
        <v>2024</v>
      </c>
      <c r="D502" s="16" t="s">
        <v>40</v>
      </c>
      <c r="E502" s="16" t="s">
        <v>32</v>
      </c>
      <c r="F502" s="16" t="s">
        <v>33</v>
      </c>
      <c r="G502" s="16">
        <v>42</v>
      </c>
      <c r="H502" s="16">
        <v>6849</v>
      </c>
      <c r="I502" s="16">
        <v>440.6</v>
      </c>
      <c r="J502" s="19">
        <v>0.71299999999999997</v>
      </c>
      <c r="K502" s="16">
        <v>88.3</v>
      </c>
      <c r="L502" s="19">
        <v>0.91100000000000003</v>
      </c>
      <c r="M502" s="19">
        <v>2.5999999999999999E-2</v>
      </c>
      <c r="N502" s="21">
        <v>50390.18</v>
      </c>
      <c r="O502" s="21">
        <v>38190.47</v>
      </c>
      <c r="P502" s="26">
        <v>12199.71</v>
      </c>
    </row>
    <row r="503" spans="1:16" x14ac:dyDescent="0.3">
      <c r="A503" s="25">
        <v>502</v>
      </c>
      <c r="B503" s="16" t="s">
        <v>48</v>
      </c>
      <c r="C503" s="16">
        <v>2024</v>
      </c>
      <c r="D503" s="16" t="s">
        <v>40</v>
      </c>
      <c r="E503" s="16" t="s">
        <v>30</v>
      </c>
      <c r="F503" s="16" t="s">
        <v>33</v>
      </c>
      <c r="G503" s="16">
        <v>37</v>
      </c>
      <c r="H503" s="16">
        <v>5291</v>
      </c>
      <c r="I503" s="16">
        <v>499</v>
      </c>
      <c r="J503" s="19">
        <v>0.63500000000000001</v>
      </c>
      <c r="K503" s="16">
        <v>82.3</v>
      </c>
      <c r="L503" s="19">
        <v>0.91500000000000004</v>
      </c>
      <c r="M503" s="19">
        <v>2.1999999999999999E-2</v>
      </c>
      <c r="N503" s="21">
        <v>54877.07</v>
      </c>
      <c r="O503" s="21">
        <v>42797.15</v>
      </c>
      <c r="P503" s="26">
        <v>12079.92</v>
      </c>
    </row>
    <row r="504" spans="1:16" x14ac:dyDescent="0.3">
      <c r="A504" s="25">
        <v>503</v>
      </c>
      <c r="B504" s="16" t="s">
        <v>48</v>
      </c>
      <c r="C504" s="16">
        <v>2024</v>
      </c>
      <c r="D504" s="16" t="s">
        <v>40</v>
      </c>
      <c r="E504" s="16" t="s">
        <v>30</v>
      </c>
      <c r="F504" s="16" t="s">
        <v>36</v>
      </c>
      <c r="G504" s="16">
        <v>51</v>
      </c>
      <c r="H504" s="16">
        <v>6828</v>
      </c>
      <c r="I504" s="16">
        <v>870.2</v>
      </c>
      <c r="J504" s="19">
        <v>0.68</v>
      </c>
      <c r="K504" s="16">
        <v>85.7</v>
      </c>
      <c r="L504" s="19">
        <v>0.88500000000000001</v>
      </c>
      <c r="M504" s="19">
        <v>3.4000000000000002E-2</v>
      </c>
      <c r="N504" s="21">
        <v>56990.89</v>
      </c>
      <c r="O504" s="21">
        <v>37953.72</v>
      </c>
      <c r="P504" s="26">
        <v>19037.169999999998</v>
      </c>
    </row>
    <row r="505" spans="1:16" x14ac:dyDescent="0.3">
      <c r="A505" s="25">
        <v>504</v>
      </c>
      <c r="B505" s="16" t="s">
        <v>48</v>
      </c>
      <c r="C505" s="16">
        <v>2024</v>
      </c>
      <c r="D505" s="16" t="s">
        <v>40</v>
      </c>
      <c r="E505" s="16" t="s">
        <v>34</v>
      </c>
      <c r="F505" s="16" t="s">
        <v>36</v>
      </c>
      <c r="G505" s="16">
        <v>48</v>
      </c>
      <c r="H505" s="16">
        <v>6661</v>
      </c>
      <c r="I505" s="16">
        <v>893.7</v>
      </c>
      <c r="J505" s="19">
        <v>0.67100000000000004</v>
      </c>
      <c r="K505" s="16">
        <v>87.1</v>
      </c>
      <c r="L505" s="19">
        <v>0.96799999999999997</v>
      </c>
      <c r="M505" s="19">
        <v>0</v>
      </c>
      <c r="N505" s="21">
        <v>55650.17</v>
      </c>
      <c r="O505" s="21">
        <v>42291.88</v>
      </c>
      <c r="P505" s="26">
        <v>13358.29</v>
      </c>
    </row>
    <row r="506" spans="1:16" x14ac:dyDescent="0.3">
      <c r="A506" s="25">
        <v>505</v>
      </c>
      <c r="B506" s="16" t="s">
        <v>48</v>
      </c>
      <c r="C506" s="16">
        <v>2024</v>
      </c>
      <c r="D506" s="16" t="s">
        <v>40</v>
      </c>
      <c r="E506" s="16" t="s">
        <v>31</v>
      </c>
      <c r="F506" s="16" t="s">
        <v>36</v>
      </c>
      <c r="G506" s="16">
        <v>51</v>
      </c>
      <c r="H506" s="16">
        <v>7415</v>
      </c>
      <c r="I506" s="16">
        <v>951</v>
      </c>
      <c r="J506" s="19">
        <v>0.71199999999999997</v>
      </c>
      <c r="K506" s="16">
        <v>79.900000000000006</v>
      </c>
      <c r="L506" s="19">
        <v>0.879</v>
      </c>
      <c r="M506" s="19">
        <v>8.9999999999999993E-3</v>
      </c>
      <c r="N506" s="21">
        <v>51593.73</v>
      </c>
      <c r="O506" s="21">
        <v>34345.57</v>
      </c>
      <c r="P506" s="26">
        <v>17248.16</v>
      </c>
    </row>
    <row r="507" spans="1:16" x14ac:dyDescent="0.3">
      <c r="A507" s="25">
        <v>506</v>
      </c>
      <c r="B507" s="16" t="s">
        <v>48</v>
      </c>
      <c r="C507" s="16">
        <v>2024</v>
      </c>
      <c r="D507" s="16" t="s">
        <v>40</v>
      </c>
      <c r="E507" s="16" t="s">
        <v>35</v>
      </c>
      <c r="F507" s="16" t="s">
        <v>36</v>
      </c>
      <c r="G507" s="16">
        <v>35</v>
      </c>
      <c r="H507" s="16">
        <v>4694</v>
      </c>
      <c r="I507" s="16">
        <v>872.4</v>
      </c>
      <c r="J507" s="19">
        <v>0.70299999999999996</v>
      </c>
      <c r="K507" s="16">
        <v>82.8</v>
      </c>
      <c r="L507" s="19">
        <v>0.755</v>
      </c>
      <c r="M507" s="19">
        <v>2.1999999999999999E-2</v>
      </c>
      <c r="N507" s="21">
        <v>39410</v>
      </c>
      <c r="O507" s="21">
        <v>29476.74</v>
      </c>
      <c r="P507" s="26">
        <v>9933.26</v>
      </c>
    </row>
    <row r="508" spans="1:16" x14ac:dyDescent="0.3">
      <c r="A508" s="25">
        <v>507</v>
      </c>
      <c r="B508" s="16" t="s">
        <v>48</v>
      </c>
      <c r="C508" s="16">
        <v>2024</v>
      </c>
      <c r="D508" s="16" t="s">
        <v>40</v>
      </c>
      <c r="E508" s="16" t="s">
        <v>32</v>
      </c>
      <c r="F508" s="16" t="s">
        <v>37</v>
      </c>
      <c r="G508" s="16">
        <v>17</v>
      </c>
      <c r="H508" s="16">
        <v>2125</v>
      </c>
      <c r="I508" s="16">
        <v>702.9</v>
      </c>
      <c r="J508" s="19">
        <v>0.63700000000000001</v>
      </c>
      <c r="K508" s="16">
        <v>80.400000000000006</v>
      </c>
      <c r="L508" s="19">
        <v>0.878</v>
      </c>
      <c r="M508" s="19">
        <v>3.9E-2</v>
      </c>
      <c r="N508" s="21">
        <v>20230</v>
      </c>
      <c r="O508" s="21">
        <v>15560.93</v>
      </c>
      <c r="P508" s="26">
        <v>4669.07</v>
      </c>
    </row>
    <row r="509" spans="1:16" x14ac:dyDescent="0.3">
      <c r="A509" s="25">
        <v>508</v>
      </c>
      <c r="B509" s="16" t="s">
        <v>48</v>
      </c>
      <c r="C509" s="16">
        <v>2024</v>
      </c>
      <c r="D509" s="16" t="s">
        <v>40</v>
      </c>
      <c r="E509" s="16" t="s">
        <v>27</v>
      </c>
      <c r="F509" s="16" t="s">
        <v>37</v>
      </c>
      <c r="G509" s="16">
        <v>42</v>
      </c>
      <c r="H509" s="16">
        <v>7201</v>
      </c>
      <c r="I509" s="16">
        <v>677.8</v>
      </c>
      <c r="J509" s="19">
        <v>0.68100000000000005</v>
      </c>
      <c r="K509" s="16">
        <v>78.400000000000006</v>
      </c>
      <c r="L509" s="19">
        <v>0.94</v>
      </c>
      <c r="M509" s="19">
        <v>0.03</v>
      </c>
      <c r="N509" s="21">
        <v>47982.23</v>
      </c>
      <c r="O509" s="21">
        <v>32858.239999999998</v>
      </c>
      <c r="P509" s="26">
        <v>15123.99</v>
      </c>
    </row>
    <row r="510" spans="1:16" x14ac:dyDescent="0.3">
      <c r="A510" s="25">
        <v>509</v>
      </c>
      <c r="B510" s="16" t="s">
        <v>48</v>
      </c>
      <c r="C510" s="16">
        <v>2024</v>
      </c>
      <c r="D510" s="16" t="s">
        <v>40</v>
      </c>
      <c r="E510" s="16" t="s">
        <v>30</v>
      </c>
      <c r="F510" s="16" t="s">
        <v>37</v>
      </c>
      <c r="G510" s="16">
        <v>45</v>
      </c>
      <c r="H510" s="16">
        <v>5572</v>
      </c>
      <c r="I510" s="16">
        <v>644</v>
      </c>
      <c r="J510" s="19">
        <v>0.61799999999999999</v>
      </c>
      <c r="K510" s="16">
        <v>75.599999999999994</v>
      </c>
      <c r="L510" s="19">
        <v>0.879</v>
      </c>
      <c r="M510" s="19">
        <v>2.9000000000000001E-2</v>
      </c>
      <c r="N510" s="21">
        <v>46370.54</v>
      </c>
      <c r="O510" s="21">
        <v>32079.89</v>
      </c>
      <c r="P510" s="26">
        <v>14290.65</v>
      </c>
    </row>
    <row r="511" spans="1:16" x14ac:dyDescent="0.3">
      <c r="A511" s="25">
        <v>510</v>
      </c>
      <c r="B511" s="16" t="s">
        <v>48</v>
      </c>
      <c r="C511" s="16">
        <v>2024</v>
      </c>
      <c r="D511" s="16" t="s">
        <v>40</v>
      </c>
      <c r="E511" s="16" t="s">
        <v>34</v>
      </c>
      <c r="F511" s="16" t="s">
        <v>37</v>
      </c>
      <c r="G511" s="16">
        <v>61</v>
      </c>
      <c r="H511" s="16">
        <v>6924</v>
      </c>
      <c r="I511" s="16">
        <v>678.3</v>
      </c>
      <c r="J511" s="19">
        <v>0.66500000000000004</v>
      </c>
      <c r="K511" s="16">
        <v>77.900000000000006</v>
      </c>
      <c r="L511" s="19">
        <v>0.90400000000000003</v>
      </c>
      <c r="M511" s="19">
        <v>2.7E-2</v>
      </c>
      <c r="N511" s="21">
        <v>71393.78</v>
      </c>
      <c r="O511" s="21">
        <v>47729.48</v>
      </c>
      <c r="P511" s="26">
        <v>23664.3</v>
      </c>
    </row>
    <row r="512" spans="1:16" x14ac:dyDescent="0.3">
      <c r="A512" s="25">
        <v>511</v>
      </c>
      <c r="B512" s="16" t="s">
        <v>48</v>
      </c>
      <c r="C512" s="16">
        <v>2024</v>
      </c>
      <c r="D512" s="16" t="s">
        <v>41</v>
      </c>
      <c r="E512" s="16" t="s">
        <v>32</v>
      </c>
      <c r="F512" s="16" t="s">
        <v>28</v>
      </c>
      <c r="G512" s="16">
        <v>45</v>
      </c>
      <c r="H512" s="16">
        <v>6728</v>
      </c>
      <c r="I512" s="16">
        <v>428.3</v>
      </c>
      <c r="J512" s="19">
        <v>0.73699999999999999</v>
      </c>
      <c r="K512" s="16">
        <v>90.5</v>
      </c>
      <c r="L512" s="19">
        <v>0.82</v>
      </c>
      <c r="M512" s="19">
        <v>1.6E-2</v>
      </c>
      <c r="N512" s="21">
        <v>78923.23</v>
      </c>
      <c r="O512" s="21">
        <v>51345.63</v>
      </c>
      <c r="P512" s="26">
        <v>27577.599999999999</v>
      </c>
    </row>
    <row r="513" spans="1:16" x14ac:dyDescent="0.3">
      <c r="A513" s="25">
        <v>512</v>
      </c>
      <c r="B513" s="16" t="s">
        <v>48</v>
      </c>
      <c r="C513" s="16">
        <v>2024</v>
      </c>
      <c r="D513" s="16" t="s">
        <v>41</v>
      </c>
      <c r="E513" s="16" t="s">
        <v>27</v>
      </c>
      <c r="F513" s="16" t="s">
        <v>28</v>
      </c>
      <c r="G513" s="16">
        <v>58</v>
      </c>
      <c r="H513" s="16">
        <v>7296</v>
      </c>
      <c r="I513" s="16">
        <v>394.6</v>
      </c>
      <c r="J513" s="19">
        <v>0.71699999999999997</v>
      </c>
      <c r="K513" s="16">
        <v>89.4</v>
      </c>
      <c r="L513" s="19">
        <v>0.84099999999999997</v>
      </c>
      <c r="M513" s="19">
        <v>1.9E-2</v>
      </c>
      <c r="N513" s="21">
        <v>98229.07</v>
      </c>
      <c r="O513" s="21">
        <v>68917.279999999999</v>
      </c>
      <c r="P513" s="26">
        <v>29311.79</v>
      </c>
    </row>
    <row r="514" spans="1:16" x14ac:dyDescent="0.3">
      <c r="A514" s="25">
        <v>513</v>
      </c>
      <c r="B514" s="16" t="s">
        <v>48</v>
      </c>
      <c r="C514" s="16">
        <v>2024</v>
      </c>
      <c r="D514" s="16" t="s">
        <v>41</v>
      </c>
      <c r="E514" s="16" t="s">
        <v>34</v>
      </c>
      <c r="F514" s="16" t="s">
        <v>28</v>
      </c>
      <c r="G514" s="16">
        <v>42</v>
      </c>
      <c r="H514" s="16">
        <v>6326</v>
      </c>
      <c r="I514" s="16">
        <v>458.6</v>
      </c>
      <c r="J514" s="19">
        <v>0.77900000000000003</v>
      </c>
      <c r="K514" s="16">
        <v>82.1</v>
      </c>
      <c r="L514" s="19">
        <v>0.85899999999999999</v>
      </c>
      <c r="M514" s="19">
        <v>2E-3</v>
      </c>
      <c r="N514" s="21">
        <v>73032.740000000005</v>
      </c>
      <c r="O514" s="21">
        <v>45721.82</v>
      </c>
      <c r="P514" s="26">
        <v>27310.92</v>
      </c>
    </row>
    <row r="515" spans="1:16" x14ac:dyDescent="0.3">
      <c r="A515" s="25">
        <v>514</v>
      </c>
      <c r="B515" s="16" t="s">
        <v>48</v>
      </c>
      <c r="C515" s="16">
        <v>2024</v>
      </c>
      <c r="D515" s="16" t="s">
        <v>41</v>
      </c>
      <c r="E515" s="16" t="s">
        <v>31</v>
      </c>
      <c r="F515" s="16" t="s">
        <v>28</v>
      </c>
      <c r="G515" s="16">
        <v>55</v>
      </c>
      <c r="H515" s="16">
        <v>7070</v>
      </c>
      <c r="I515" s="16">
        <v>417.7</v>
      </c>
      <c r="J515" s="19">
        <v>0.85099999999999998</v>
      </c>
      <c r="K515" s="16">
        <v>87.7</v>
      </c>
      <c r="L515" s="19">
        <v>0.86399999999999999</v>
      </c>
      <c r="M515" s="19">
        <v>1.9E-2</v>
      </c>
      <c r="N515" s="21">
        <v>101799.46</v>
      </c>
      <c r="O515" s="21">
        <v>67869.570000000007</v>
      </c>
      <c r="P515" s="26">
        <v>33929.89</v>
      </c>
    </row>
    <row r="516" spans="1:16" x14ac:dyDescent="0.3">
      <c r="A516" s="25">
        <v>515</v>
      </c>
      <c r="B516" s="16" t="s">
        <v>48</v>
      </c>
      <c r="C516" s="16">
        <v>2024</v>
      </c>
      <c r="D516" s="16" t="s">
        <v>41</v>
      </c>
      <c r="E516" s="16" t="s">
        <v>27</v>
      </c>
      <c r="F516" s="16" t="s">
        <v>29</v>
      </c>
      <c r="G516" s="16">
        <v>24</v>
      </c>
      <c r="H516" s="16">
        <v>4079</v>
      </c>
      <c r="I516" s="16">
        <v>312.8</v>
      </c>
      <c r="J516" s="19">
        <v>0.56599999999999995</v>
      </c>
      <c r="K516" s="16">
        <v>80.8</v>
      </c>
      <c r="L516" s="19">
        <v>1</v>
      </c>
      <c r="M516" s="19">
        <v>2.1000000000000001E-2</v>
      </c>
      <c r="N516" s="21">
        <v>31037.46</v>
      </c>
      <c r="O516" s="21">
        <v>22709.84</v>
      </c>
      <c r="P516" s="26">
        <v>8327.6200000000008</v>
      </c>
    </row>
    <row r="517" spans="1:16" x14ac:dyDescent="0.3">
      <c r="A517" s="25">
        <v>516</v>
      </c>
      <c r="B517" s="16" t="s">
        <v>48</v>
      </c>
      <c r="C517" s="16">
        <v>2024</v>
      </c>
      <c r="D517" s="16" t="s">
        <v>41</v>
      </c>
      <c r="E517" s="16" t="s">
        <v>30</v>
      </c>
      <c r="F517" s="16" t="s">
        <v>29</v>
      </c>
      <c r="G517" s="16">
        <v>35</v>
      </c>
      <c r="H517" s="16">
        <v>4703</v>
      </c>
      <c r="I517" s="16">
        <v>258.5</v>
      </c>
      <c r="J517" s="19">
        <v>0.63800000000000001</v>
      </c>
      <c r="K517" s="16">
        <v>82.8</v>
      </c>
      <c r="L517" s="19">
        <v>0.96499999999999997</v>
      </c>
      <c r="M517" s="19">
        <v>2.7E-2</v>
      </c>
      <c r="N517" s="21">
        <v>51874.91</v>
      </c>
      <c r="O517" s="21">
        <v>36295.410000000003</v>
      </c>
      <c r="P517" s="26">
        <v>15579.5</v>
      </c>
    </row>
    <row r="518" spans="1:16" x14ac:dyDescent="0.3">
      <c r="A518" s="25">
        <v>517</v>
      </c>
      <c r="B518" s="16" t="s">
        <v>48</v>
      </c>
      <c r="C518" s="16">
        <v>2024</v>
      </c>
      <c r="D518" s="16" t="s">
        <v>41</v>
      </c>
      <c r="E518" s="16" t="s">
        <v>31</v>
      </c>
      <c r="F518" s="16" t="s">
        <v>29</v>
      </c>
      <c r="G518" s="16">
        <v>50</v>
      </c>
      <c r="H518" s="16">
        <v>7679</v>
      </c>
      <c r="I518" s="16">
        <v>303.39999999999998</v>
      </c>
      <c r="J518" s="19">
        <v>0.61499999999999999</v>
      </c>
      <c r="K518" s="16">
        <v>80.3</v>
      </c>
      <c r="L518" s="19">
        <v>0.92500000000000004</v>
      </c>
      <c r="M518" s="19">
        <v>2.4E-2</v>
      </c>
      <c r="N518" s="21">
        <v>77283.990000000005</v>
      </c>
      <c r="O518" s="21">
        <v>48164.89</v>
      </c>
      <c r="P518" s="26">
        <v>29119.1</v>
      </c>
    </row>
    <row r="519" spans="1:16" x14ac:dyDescent="0.3">
      <c r="A519" s="25">
        <v>518</v>
      </c>
      <c r="B519" s="16" t="s">
        <v>48</v>
      </c>
      <c r="C519" s="16">
        <v>2024</v>
      </c>
      <c r="D519" s="16" t="s">
        <v>41</v>
      </c>
      <c r="E519" s="16" t="s">
        <v>35</v>
      </c>
      <c r="F519" s="16" t="s">
        <v>29</v>
      </c>
      <c r="G519" s="16">
        <v>5</v>
      </c>
      <c r="H519" s="16">
        <v>583</v>
      </c>
      <c r="I519" s="16">
        <v>324.8</v>
      </c>
      <c r="J519" s="19">
        <v>0.52200000000000002</v>
      </c>
      <c r="K519" s="16">
        <v>88.9</v>
      </c>
      <c r="L519" s="19">
        <v>0.90200000000000002</v>
      </c>
      <c r="M519" s="19">
        <v>0.03</v>
      </c>
      <c r="N519" s="21">
        <v>7824.82</v>
      </c>
      <c r="O519" s="21">
        <v>5351.83</v>
      </c>
      <c r="P519" s="26">
        <v>2472.9899999999998</v>
      </c>
    </row>
    <row r="520" spans="1:16" x14ac:dyDescent="0.3">
      <c r="A520" s="25">
        <v>519</v>
      </c>
      <c r="B520" s="16" t="s">
        <v>48</v>
      </c>
      <c r="C520" s="16">
        <v>2024</v>
      </c>
      <c r="D520" s="16" t="s">
        <v>41</v>
      </c>
      <c r="E520" s="16" t="s">
        <v>32</v>
      </c>
      <c r="F520" s="16" t="s">
        <v>33</v>
      </c>
      <c r="G520" s="16">
        <v>24</v>
      </c>
      <c r="H520" s="16">
        <v>3745</v>
      </c>
      <c r="I520" s="16">
        <v>536.29999999999995</v>
      </c>
      <c r="J520" s="19">
        <v>0.66700000000000004</v>
      </c>
      <c r="K520" s="16">
        <v>80.900000000000006</v>
      </c>
      <c r="L520" s="19">
        <v>0.86199999999999999</v>
      </c>
      <c r="M520" s="19">
        <v>1.9E-2</v>
      </c>
      <c r="N520" s="21">
        <v>41674.31</v>
      </c>
      <c r="O520" s="21">
        <v>28594.19</v>
      </c>
      <c r="P520" s="26">
        <v>13080.12</v>
      </c>
    </row>
    <row r="521" spans="1:16" x14ac:dyDescent="0.3">
      <c r="A521" s="25">
        <v>520</v>
      </c>
      <c r="B521" s="16" t="s">
        <v>48</v>
      </c>
      <c r="C521" s="16">
        <v>2024</v>
      </c>
      <c r="D521" s="16" t="s">
        <v>41</v>
      </c>
      <c r="E521" s="16" t="s">
        <v>34</v>
      </c>
      <c r="F521" s="16" t="s">
        <v>33</v>
      </c>
      <c r="G521" s="16">
        <v>52</v>
      </c>
      <c r="H521" s="16">
        <v>7799</v>
      </c>
      <c r="I521" s="16">
        <v>509.4</v>
      </c>
      <c r="J521" s="19">
        <v>0.74399999999999999</v>
      </c>
      <c r="K521" s="16">
        <v>89.5</v>
      </c>
      <c r="L521" s="19">
        <v>0.86199999999999999</v>
      </c>
      <c r="M521" s="19">
        <v>2.3E-2</v>
      </c>
      <c r="N521" s="21">
        <v>72621.100000000006</v>
      </c>
      <c r="O521" s="21">
        <v>50494.39</v>
      </c>
      <c r="P521" s="26">
        <v>22126.71</v>
      </c>
    </row>
    <row r="522" spans="1:16" x14ac:dyDescent="0.3">
      <c r="A522" s="25">
        <v>521</v>
      </c>
      <c r="B522" s="16" t="s">
        <v>48</v>
      </c>
      <c r="C522" s="16">
        <v>2024</v>
      </c>
      <c r="D522" s="16" t="s">
        <v>41</v>
      </c>
      <c r="E522" s="16" t="s">
        <v>32</v>
      </c>
      <c r="F522" s="16" t="s">
        <v>36</v>
      </c>
      <c r="G522" s="16">
        <v>33</v>
      </c>
      <c r="H522" s="16">
        <v>4143</v>
      </c>
      <c r="I522" s="16">
        <v>972</v>
      </c>
      <c r="J522" s="19">
        <v>0.752</v>
      </c>
      <c r="K522" s="16">
        <v>85.7</v>
      </c>
      <c r="L522" s="19">
        <v>0.875</v>
      </c>
      <c r="M522" s="19">
        <v>2.7E-2</v>
      </c>
      <c r="N522" s="21">
        <v>61995.199999999997</v>
      </c>
      <c r="O522" s="21">
        <v>40289.660000000003</v>
      </c>
      <c r="P522" s="26">
        <v>21705.54</v>
      </c>
    </row>
    <row r="523" spans="1:16" x14ac:dyDescent="0.3">
      <c r="A523" s="25">
        <v>522</v>
      </c>
      <c r="B523" s="16" t="s">
        <v>48</v>
      </c>
      <c r="C523" s="16">
        <v>2024</v>
      </c>
      <c r="D523" s="16" t="s">
        <v>41</v>
      </c>
      <c r="E523" s="16" t="s">
        <v>27</v>
      </c>
      <c r="F523" s="16" t="s">
        <v>36</v>
      </c>
      <c r="G523" s="16">
        <v>34</v>
      </c>
      <c r="H523" s="16">
        <v>5457</v>
      </c>
      <c r="I523" s="16">
        <v>924.6</v>
      </c>
      <c r="J523" s="19">
        <v>0.56499999999999995</v>
      </c>
      <c r="K523" s="16">
        <v>83.7</v>
      </c>
      <c r="L523" s="19">
        <v>0.86299999999999999</v>
      </c>
      <c r="M523" s="19">
        <v>1.2E-2</v>
      </c>
      <c r="N523" s="21">
        <v>57830.28</v>
      </c>
      <c r="O523" s="21">
        <v>37626.89</v>
      </c>
      <c r="P523" s="26">
        <v>20203.39</v>
      </c>
    </row>
    <row r="524" spans="1:16" x14ac:dyDescent="0.3">
      <c r="A524" s="25">
        <v>523</v>
      </c>
      <c r="B524" s="16" t="s">
        <v>48</v>
      </c>
      <c r="C524" s="16">
        <v>2024</v>
      </c>
      <c r="D524" s="16" t="s">
        <v>41</v>
      </c>
      <c r="E524" s="16" t="s">
        <v>34</v>
      </c>
      <c r="F524" s="16" t="s">
        <v>36</v>
      </c>
      <c r="G524" s="16">
        <v>42</v>
      </c>
      <c r="H524" s="16">
        <v>5766</v>
      </c>
      <c r="I524" s="16">
        <v>951.7</v>
      </c>
      <c r="J524" s="19">
        <v>0.65500000000000003</v>
      </c>
      <c r="K524" s="16">
        <v>93.6</v>
      </c>
      <c r="L524" s="19">
        <v>0.89</v>
      </c>
      <c r="M524" s="19">
        <v>2.1999999999999999E-2</v>
      </c>
      <c r="N524" s="21">
        <v>94673.19</v>
      </c>
      <c r="O524" s="21">
        <v>59304.33</v>
      </c>
      <c r="P524" s="26">
        <v>35368.86</v>
      </c>
    </row>
    <row r="525" spans="1:16" x14ac:dyDescent="0.3">
      <c r="A525" s="25">
        <v>524</v>
      </c>
      <c r="B525" s="16" t="s">
        <v>48</v>
      </c>
      <c r="C525" s="16">
        <v>2024</v>
      </c>
      <c r="D525" s="16" t="s">
        <v>41</v>
      </c>
      <c r="E525" s="16" t="s">
        <v>31</v>
      </c>
      <c r="F525" s="16" t="s">
        <v>36</v>
      </c>
      <c r="G525" s="16">
        <v>29</v>
      </c>
      <c r="H525" s="16">
        <v>3858</v>
      </c>
      <c r="I525" s="16">
        <v>850.7</v>
      </c>
      <c r="J525" s="19">
        <v>0.75700000000000001</v>
      </c>
      <c r="K525" s="16">
        <v>95.4</v>
      </c>
      <c r="L525" s="19">
        <v>0.97299999999999998</v>
      </c>
      <c r="M525" s="19">
        <v>3.6999999999999998E-2</v>
      </c>
      <c r="N525" s="21">
        <v>52502.78</v>
      </c>
      <c r="O525" s="21">
        <v>34777.56</v>
      </c>
      <c r="P525" s="26">
        <v>17725.22</v>
      </c>
    </row>
    <row r="526" spans="1:16" x14ac:dyDescent="0.3">
      <c r="A526" s="25">
        <v>525</v>
      </c>
      <c r="B526" s="16" t="s">
        <v>48</v>
      </c>
      <c r="C526" s="16">
        <v>2024</v>
      </c>
      <c r="D526" s="16" t="s">
        <v>41</v>
      </c>
      <c r="E526" s="16" t="s">
        <v>27</v>
      </c>
      <c r="F526" s="16" t="s">
        <v>37</v>
      </c>
      <c r="G526" s="16">
        <v>37</v>
      </c>
      <c r="H526" s="16">
        <v>6006</v>
      </c>
      <c r="I526" s="16">
        <v>621.1</v>
      </c>
      <c r="J526" s="19">
        <v>0.70399999999999996</v>
      </c>
      <c r="K526" s="16">
        <v>83.1</v>
      </c>
      <c r="L526" s="19">
        <v>0.89600000000000002</v>
      </c>
      <c r="M526" s="19">
        <v>2.5999999999999999E-2</v>
      </c>
      <c r="N526" s="21">
        <v>52465.46</v>
      </c>
      <c r="O526" s="21">
        <v>39901.050000000003</v>
      </c>
      <c r="P526" s="26">
        <v>12564.41</v>
      </c>
    </row>
    <row r="527" spans="1:16" x14ac:dyDescent="0.3">
      <c r="A527" s="25">
        <v>526</v>
      </c>
      <c r="B527" s="16" t="s">
        <v>48</v>
      </c>
      <c r="C527" s="16">
        <v>2024</v>
      </c>
      <c r="D527" s="16" t="s">
        <v>41</v>
      </c>
      <c r="E527" s="16" t="s">
        <v>34</v>
      </c>
      <c r="F527" s="16" t="s">
        <v>37</v>
      </c>
      <c r="G527" s="16">
        <v>17</v>
      </c>
      <c r="H527" s="16">
        <v>1443</v>
      </c>
      <c r="I527" s="16">
        <v>668.4</v>
      </c>
      <c r="J527" s="19">
        <v>0.66400000000000003</v>
      </c>
      <c r="K527" s="16">
        <v>86</v>
      </c>
      <c r="L527" s="19">
        <v>1</v>
      </c>
      <c r="M527" s="19">
        <v>1.7000000000000001E-2</v>
      </c>
      <c r="N527" s="21">
        <v>29755.040000000001</v>
      </c>
      <c r="O527" s="21">
        <v>22154.49</v>
      </c>
      <c r="P527" s="26">
        <v>7600.55</v>
      </c>
    </row>
    <row r="528" spans="1:16" x14ac:dyDescent="0.3">
      <c r="A528" s="25">
        <v>527</v>
      </c>
      <c r="B528" s="16" t="s">
        <v>48</v>
      </c>
      <c r="C528" s="16">
        <v>2024</v>
      </c>
      <c r="D528" s="16" t="s">
        <v>41</v>
      </c>
      <c r="E528" s="16" t="s">
        <v>35</v>
      </c>
      <c r="F528" s="16" t="s">
        <v>37</v>
      </c>
      <c r="G528" s="16">
        <v>44</v>
      </c>
      <c r="H528" s="16">
        <v>5717</v>
      </c>
      <c r="I528" s="16">
        <v>646.20000000000005</v>
      </c>
      <c r="J528" s="19">
        <v>0.65800000000000003</v>
      </c>
      <c r="K528" s="16">
        <v>79.099999999999994</v>
      </c>
      <c r="L528" s="19">
        <v>0.86</v>
      </c>
      <c r="M528" s="19">
        <v>0</v>
      </c>
      <c r="N528" s="21">
        <v>76106.320000000007</v>
      </c>
      <c r="O528" s="21">
        <v>53319.38</v>
      </c>
      <c r="P528" s="26">
        <v>22786.94</v>
      </c>
    </row>
    <row r="529" spans="1:16" x14ac:dyDescent="0.3">
      <c r="A529" s="25">
        <v>528</v>
      </c>
      <c r="B529" s="16" t="s">
        <v>49</v>
      </c>
      <c r="C529" s="16">
        <v>2024</v>
      </c>
      <c r="D529" s="16" t="s">
        <v>26</v>
      </c>
      <c r="E529" s="16" t="s">
        <v>27</v>
      </c>
      <c r="F529" s="16" t="s">
        <v>28</v>
      </c>
      <c r="G529" s="16">
        <v>57</v>
      </c>
      <c r="H529" s="16">
        <v>9725</v>
      </c>
      <c r="I529" s="16">
        <v>386.4</v>
      </c>
      <c r="J529" s="19">
        <v>0.85299999999999998</v>
      </c>
      <c r="K529" s="16">
        <v>80.099999999999994</v>
      </c>
      <c r="L529" s="19">
        <v>1</v>
      </c>
      <c r="M529" s="19">
        <v>4.2999999999999997E-2</v>
      </c>
      <c r="N529" s="21">
        <v>76989.33</v>
      </c>
      <c r="O529" s="21">
        <v>47959.53</v>
      </c>
      <c r="P529" s="26">
        <v>29029.8</v>
      </c>
    </row>
    <row r="530" spans="1:16" x14ac:dyDescent="0.3">
      <c r="A530" s="25">
        <v>529</v>
      </c>
      <c r="B530" s="16" t="s">
        <v>49</v>
      </c>
      <c r="C530" s="16">
        <v>2024</v>
      </c>
      <c r="D530" s="16" t="s">
        <v>26</v>
      </c>
      <c r="E530" s="16" t="s">
        <v>30</v>
      </c>
      <c r="F530" s="16" t="s">
        <v>28</v>
      </c>
      <c r="G530" s="16">
        <v>22</v>
      </c>
      <c r="H530" s="16">
        <v>3346</v>
      </c>
      <c r="I530" s="16">
        <v>429</v>
      </c>
      <c r="J530" s="19">
        <v>0.81</v>
      </c>
      <c r="K530" s="16">
        <v>80.3</v>
      </c>
      <c r="L530" s="19">
        <v>0.97</v>
      </c>
      <c r="M530" s="19">
        <v>1.9E-2</v>
      </c>
      <c r="N530" s="21">
        <v>30839.72</v>
      </c>
      <c r="O530" s="21">
        <v>19336.060000000001</v>
      </c>
      <c r="P530" s="26">
        <v>11503.66</v>
      </c>
    </row>
    <row r="531" spans="1:16" x14ac:dyDescent="0.3">
      <c r="A531" s="25">
        <v>530</v>
      </c>
      <c r="B531" s="16" t="s">
        <v>49</v>
      </c>
      <c r="C531" s="16">
        <v>2024</v>
      </c>
      <c r="D531" s="16" t="s">
        <v>26</v>
      </c>
      <c r="E531" s="16" t="s">
        <v>31</v>
      </c>
      <c r="F531" s="16" t="s">
        <v>28</v>
      </c>
      <c r="G531" s="16">
        <v>46</v>
      </c>
      <c r="H531" s="16">
        <v>6614</v>
      </c>
      <c r="I531" s="16">
        <v>412.5</v>
      </c>
      <c r="J531" s="19">
        <v>0.77400000000000002</v>
      </c>
      <c r="K531" s="16">
        <v>80.900000000000006</v>
      </c>
      <c r="L531" s="19">
        <v>0.92500000000000004</v>
      </c>
      <c r="M531" s="19">
        <v>3.7999999999999999E-2</v>
      </c>
      <c r="N531" s="21">
        <v>61564.62</v>
      </c>
      <c r="O531" s="21">
        <v>42189.4</v>
      </c>
      <c r="P531" s="26">
        <v>19375.22</v>
      </c>
    </row>
    <row r="532" spans="1:16" x14ac:dyDescent="0.3">
      <c r="A532" s="25">
        <v>531</v>
      </c>
      <c r="B532" s="16" t="s">
        <v>49</v>
      </c>
      <c r="C532" s="16">
        <v>2024</v>
      </c>
      <c r="D532" s="16" t="s">
        <v>26</v>
      </c>
      <c r="E532" s="16" t="s">
        <v>27</v>
      </c>
      <c r="F532" s="16" t="s">
        <v>29</v>
      </c>
      <c r="G532" s="16">
        <v>54</v>
      </c>
      <c r="H532" s="16">
        <v>8965</v>
      </c>
      <c r="I532" s="16">
        <v>341.5</v>
      </c>
      <c r="J532" s="19">
        <v>0.65600000000000003</v>
      </c>
      <c r="K532" s="16">
        <v>76.400000000000006</v>
      </c>
      <c r="L532" s="19">
        <v>0.89</v>
      </c>
      <c r="M532" s="19">
        <v>2E-3</v>
      </c>
      <c r="N532" s="21">
        <v>59662.45</v>
      </c>
      <c r="O532" s="21">
        <v>40088.46</v>
      </c>
      <c r="P532" s="26">
        <v>19573.990000000002</v>
      </c>
    </row>
    <row r="533" spans="1:16" x14ac:dyDescent="0.3">
      <c r="A533" s="25">
        <v>532</v>
      </c>
      <c r="B533" s="16" t="s">
        <v>49</v>
      </c>
      <c r="C533" s="16">
        <v>2024</v>
      </c>
      <c r="D533" s="16" t="s">
        <v>26</v>
      </c>
      <c r="E533" s="16" t="s">
        <v>30</v>
      </c>
      <c r="F533" s="16" t="s">
        <v>29</v>
      </c>
      <c r="G533" s="16">
        <v>40</v>
      </c>
      <c r="H533" s="16">
        <v>4230</v>
      </c>
      <c r="I533" s="16">
        <v>262.39999999999998</v>
      </c>
      <c r="J533" s="19">
        <v>0.67900000000000005</v>
      </c>
      <c r="K533" s="16">
        <v>87.6</v>
      </c>
      <c r="L533" s="19">
        <v>0.92</v>
      </c>
      <c r="M533" s="19">
        <v>2.7E-2</v>
      </c>
      <c r="N533" s="21">
        <v>53516.02</v>
      </c>
      <c r="O533" s="21">
        <v>38908.75</v>
      </c>
      <c r="P533" s="26">
        <v>14607.27</v>
      </c>
    </row>
    <row r="534" spans="1:16" x14ac:dyDescent="0.3">
      <c r="A534" s="25">
        <v>533</v>
      </c>
      <c r="B534" s="16" t="s">
        <v>49</v>
      </c>
      <c r="C534" s="16">
        <v>2024</v>
      </c>
      <c r="D534" s="16" t="s">
        <v>26</v>
      </c>
      <c r="E534" s="16" t="s">
        <v>31</v>
      </c>
      <c r="F534" s="16" t="s">
        <v>29</v>
      </c>
      <c r="G534" s="16">
        <v>50</v>
      </c>
      <c r="H534" s="16">
        <v>6400</v>
      </c>
      <c r="I534" s="16">
        <v>308.2</v>
      </c>
      <c r="J534" s="19">
        <v>0.64300000000000002</v>
      </c>
      <c r="K534" s="16">
        <v>83.8</v>
      </c>
      <c r="L534" s="19">
        <v>0.88200000000000001</v>
      </c>
      <c r="M534" s="19">
        <v>3.5999999999999997E-2</v>
      </c>
      <c r="N534" s="21">
        <v>45693.98</v>
      </c>
      <c r="O534" s="21">
        <v>32847.120000000003</v>
      </c>
      <c r="P534" s="26">
        <v>12846.86</v>
      </c>
    </row>
    <row r="535" spans="1:16" x14ac:dyDescent="0.3">
      <c r="A535" s="25">
        <v>534</v>
      </c>
      <c r="B535" s="16" t="s">
        <v>49</v>
      </c>
      <c r="C535" s="16">
        <v>2024</v>
      </c>
      <c r="D535" s="16" t="s">
        <v>26</v>
      </c>
      <c r="E535" s="16" t="s">
        <v>35</v>
      </c>
      <c r="F535" s="16" t="s">
        <v>29</v>
      </c>
      <c r="G535" s="16">
        <v>40</v>
      </c>
      <c r="H535" s="16">
        <v>5809</v>
      </c>
      <c r="I535" s="16">
        <v>303</v>
      </c>
      <c r="J535" s="19">
        <v>0.72899999999999998</v>
      </c>
      <c r="K535" s="16">
        <v>69.400000000000006</v>
      </c>
      <c r="L535" s="19">
        <v>0.996</v>
      </c>
      <c r="M535" s="19">
        <v>2.4E-2</v>
      </c>
      <c r="N535" s="21">
        <v>53634.61</v>
      </c>
      <c r="O535" s="21">
        <v>36779.89</v>
      </c>
      <c r="P535" s="26">
        <v>16854.72</v>
      </c>
    </row>
    <row r="536" spans="1:16" x14ac:dyDescent="0.3">
      <c r="A536" s="25">
        <v>535</v>
      </c>
      <c r="B536" s="16" t="s">
        <v>49</v>
      </c>
      <c r="C536" s="16">
        <v>2024</v>
      </c>
      <c r="D536" s="16" t="s">
        <v>26</v>
      </c>
      <c r="E536" s="16" t="s">
        <v>32</v>
      </c>
      <c r="F536" s="16" t="s">
        <v>33</v>
      </c>
      <c r="G536" s="16">
        <v>61</v>
      </c>
      <c r="H536" s="16">
        <v>9345</v>
      </c>
      <c r="I536" s="16">
        <v>412.7</v>
      </c>
      <c r="J536" s="19">
        <v>0.72199999999999998</v>
      </c>
      <c r="K536" s="16">
        <v>83.5</v>
      </c>
      <c r="L536" s="19">
        <v>0.88400000000000001</v>
      </c>
      <c r="M536" s="19">
        <v>1.2E-2</v>
      </c>
      <c r="N536" s="21">
        <v>84438.05</v>
      </c>
      <c r="O536" s="21">
        <v>62480.45</v>
      </c>
      <c r="P536" s="26">
        <v>21957.599999999999</v>
      </c>
    </row>
    <row r="537" spans="1:16" x14ac:dyDescent="0.3">
      <c r="A537" s="25">
        <v>536</v>
      </c>
      <c r="B537" s="16" t="s">
        <v>49</v>
      </c>
      <c r="C537" s="16">
        <v>2024</v>
      </c>
      <c r="D537" s="16" t="s">
        <v>26</v>
      </c>
      <c r="E537" s="16" t="s">
        <v>34</v>
      </c>
      <c r="F537" s="16" t="s">
        <v>33</v>
      </c>
      <c r="G537" s="16">
        <v>34</v>
      </c>
      <c r="H537" s="16">
        <v>5004</v>
      </c>
      <c r="I537" s="16">
        <v>416.5</v>
      </c>
      <c r="J537" s="19">
        <v>0.74099999999999999</v>
      </c>
      <c r="K537" s="16">
        <v>90.9</v>
      </c>
      <c r="L537" s="19">
        <v>0.85599999999999998</v>
      </c>
      <c r="M537" s="19">
        <v>2.4E-2</v>
      </c>
      <c r="N537" s="21">
        <v>47041.85</v>
      </c>
      <c r="O537" s="21">
        <v>36107.24</v>
      </c>
      <c r="P537" s="26">
        <v>10934.61</v>
      </c>
    </row>
    <row r="538" spans="1:16" x14ac:dyDescent="0.3">
      <c r="A538" s="25">
        <v>537</v>
      </c>
      <c r="B538" s="16" t="s">
        <v>49</v>
      </c>
      <c r="C538" s="16">
        <v>2024</v>
      </c>
      <c r="D538" s="16" t="s">
        <v>26</v>
      </c>
      <c r="E538" s="16" t="s">
        <v>31</v>
      </c>
      <c r="F538" s="16" t="s">
        <v>33</v>
      </c>
      <c r="G538" s="16">
        <v>45</v>
      </c>
      <c r="H538" s="16">
        <v>4292</v>
      </c>
      <c r="I538" s="16">
        <v>527.20000000000005</v>
      </c>
      <c r="J538" s="19">
        <v>0.86399999999999999</v>
      </c>
      <c r="K538" s="16">
        <v>90.4</v>
      </c>
      <c r="L538" s="19">
        <v>0.92700000000000005</v>
      </c>
      <c r="M538" s="19">
        <v>0</v>
      </c>
      <c r="N538" s="21">
        <v>59356.13</v>
      </c>
      <c r="O538" s="21">
        <v>41945.89</v>
      </c>
      <c r="P538" s="26">
        <v>17410.240000000002</v>
      </c>
    </row>
    <row r="539" spans="1:16" x14ac:dyDescent="0.3">
      <c r="A539" s="25">
        <v>538</v>
      </c>
      <c r="B539" s="16" t="s">
        <v>49</v>
      </c>
      <c r="C539" s="16">
        <v>2024</v>
      </c>
      <c r="D539" s="16" t="s">
        <v>26</v>
      </c>
      <c r="E539" s="16" t="s">
        <v>32</v>
      </c>
      <c r="F539" s="16" t="s">
        <v>36</v>
      </c>
      <c r="G539" s="16">
        <v>30</v>
      </c>
      <c r="H539" s="16">
        <v>3905</v>
      </c>
      <c r="I539" s="16">
        <v>859.7</v>
      </c>
      <c r="J539" s="19">
        <v>0.70299999999999996</v>
      </c>
      <c r="K539" s="16">
        <v>80.2</v>
      </c>
      <c r="L539" s="19">
        <v>0.97499999999999998</v>
      </c>
      <c r="M539" s="19">
        <v>1.2999999999999999E-2</v>
      </c>
      <c r="N539" s="21">
        <v>33933.620000000003</v>
      </c>
      <c r="O539" s="21">
        <v>23516.36</v>
      </c>
      <c r="P539" s="26">
        <v>10417.26</v>
      </c>
    </row>
    <row r="540" spans="1:16" x14ac:dyDescent="0.3">
      <c r="A540" s="25">
        <v>539</v>
      </c>
      <c r="B540" s="16" t="s">
        <v>49</v>
      </c>
      <c r="C540" s="16">
        <v>2024</v>
      </c>
      <c r="D540" s="16" t="s">
        <v>26</v>
      </c>
      <c r="E540" s="16" t="s">
        <v>35</v>
      </c>
      <c r="F540" s="16" t="s">
        <v>36</v>
      </c>
      <c r="G540" s="16">
        <v>70</v>
      </c>
      <c r="H540" s="16">
        <v>10143</v>
      </c>
      <c r="I540" s="16">
        <v>884</v>
      </c>
      <c r="J540" s="19">
        <v>0.65500000000000003</v>
      </c>
      <c r="K540" s="16">
        <v>82.5</v>
      </c>
      <c r="L540" s="19">
        <v>0.89800000000000002</v>
      </c>
      <c r="M540" s="19">
        <v>3.4000000000000002E-2</v>
      </c>
      <c r="N540" s="21">
        <v>78517.009999999995</v>
      </c>
      <c r="O540" s="21">
        <v>49259.3</v>
      </c>
      <c r="P540" s="26">
        <v>29257.71</v>
      </c>
    </row>
    <row r="541" spans="1:16" x14ac:dyDescent="0.3">
      <c r="A541" s="25">
        <v>540</v>
      </c>
      <c r="B541" s="16" t="s">
        <v>49</v>
      </c>
      <c r="C541" s="16">
        <v>2024</v>
      </c>
      <c r="D541" s="16" t="s">
        <v>26</v>
      </c>
      <c r="E541" s="16" t="s">
        <v>34</v>
      </c>
      <c r="F541" s="16" t="s">
        <v>37</v>
      </c>
      <c r="G541" s="16">
        <v>50</v>
      </c>
      <c r="H541" s="16">
        <v>7523</v>
      </c>
      <c r="I541" s="16">
        <v>711.2</v>
      </c>
      <c r="J541" s="19">
        <v>0.66400000000000003</v>
      </c>
      <c r="K541" s="16">
        <v>71</v>
      </c>
      <c r="L541" s="19">
        <v>0.90800000000000003</v>
      </c>
      <c r="M541" s="19">
        <v>3.1E-2</v>
      </c>
      <c r="N541" s="21">
        <v>55581.03</v>
      </c>
      <c r="O541" s="21">
        <v>42132.83</v>
      </c>
      <c r="P541" s="26">
        <v>13448.2</v>
      </c>
    </row>
    <row r="542" spans="1:16" x14ac:dyDescent="0.3">
      <c r="A542" s="25">
        <v>541</v>
      </c>
      <c r="B542" s="16" t="s">
        <v>49</v>
      </c>
      <c r="C542" s="16">
        <v>2024</v>
      </c>
      <c r="D542" s="16" t="s">
        <v>26</v>
      </c>
      <c r="E542" s="16" t="s">
        <v>35</v>
      </c>
      <c r="F542" s="16" t="s">
        <v>37</v>
      </c>
      <c r="G542" s="16">
        <v>51</v>
      </c>
      <c r="H542" s="16">
        <v>6709</v>
      </c>
      <c r="I542" s="16">
        <v>682.2</v>
      </c>
      <c r="J542" s="19">
        <v>0.56599999999999995</v>
      </c>
      <c r="K542" s="16">
        <v>77.8</v>
      </c>
      <c r="L542" s="19">
        <v>0.85399999999999998</v>
      </c>
      <c r="M542" s="19">
        <v>4.4999999999999998E-2</v>
      </c>
      <c r="N542" s="21">
        <v>49023.65</v>
      </c>
      <c r="O542" s="21">
        <v>35649.629999999997</v>
      </c>
      <c r="P542" s="26">
        <v>13374.02</v>
      </c>
    </row>
    <row r="543" spans="1:16" x14ac:dyDescent="0.3">
      <c r="A543" s="25">
        <v>542</v>
      </c>
      <c r="B543" s="16" t="s">
        <v>49</v>
      </c>
      <c r="C543" s="16">
        <v>2024</v>
      </c>
      <c r="D543" s="16" t="s">
        <v>38</v>
      </c>
      <c r="E543" s="16" t="s">
        <v>27</v>
      </c>
      <c r="F543" s="16" t="s">
        <v>28</v>
      </c>
      <c r="G543" s="16">
        <v>40</v>
      </c>
      <c r="H543" s="16">
        <v>3804</v>
      </c>
      <c r="I543" s="16">
        <v>365.3</v>
      </c>
      <c r="J543" s="19">
        <v>0.71399999999999997</v>
      </c>
      <c r="K543" s="16">
        <v>84.5</v>
      </c>
      <c r="L543" s="19">
        <v>0.89700000000000002</v>
      </c>
      <c r="M543" s="19">
        <v>3.5000000000000003E-2</v>
      </c>
      <c r="N543" s="21">
        <v>50726.52</v>
      </c>
      <c r="O543" s="21">
        <v>38552.230000000003</v>
      </c>
      <c r="P543" s="26">
        <v>12174.29</v>
      </c>
    </row>
    <row r="544" spans="1:16" x14ac:dyDescent="0.3">
      <c r="A544" s="25">
        <v>543</v>
      </c>
      <c r="B544" s="16" t="s">
        <v>49</v>
      </c>
      <c r="C544" s="16">
        <v>2024</v>
      </c>
      <c r="D544" s="16" t="s">
        <v>38</v>
      </c>
      <c r="E544" s="16" t="s">
        <v>31</v>
      </c>
      <c r="F544" s="16" t="s">
        <v>28</v>
      </c>
      <c r="G544" s="16">
        <v>64</v>
      </c>
      <c r="H544" s="16">
        <v>10825</v>
      </c>
      <c r="I544" s="16">
        <v>370.2</v>
      </c>
      <c r="J544" s="19">
        <v>0.81100000000000005</v>
      </c>
      <c r="K544" s="16">
        <v>99</v>
      </c>
      <c r="L544" s="19">
        <v>0.90700000000000003</v>
      </c>
      <c r="M544" s="19">
        <v>3.5000000000000003E-2</v>
      </c>
      <c r="N544" s="21">
        <v>93173.35</v>
      </c>
      <c r="O544" s="21">
        <v>70326.710000000006</v>
      </c>
      <c r="P544" s="26">
        <v>22846.639999999999</v>
      </c>
    </row>
    <row r="545" spans="1:16" x14ac:dyDescent="0.3">
      <c r="A545" s="25">
        <v>544</v>
      </c>
      <c r="B545" s="16" t="s">
        <v>49</v>
      </c>
      <c r="C545" s="16">
        <v>2024</v>
      </c>
      <c r="D545" s="16" t="s">
        <v>38</v>
      </c>
      <c r="E545" s="16" t="s">
        <v>35</v>
      </c>
      <c r="F545" s="16" t="s">
        <v>28</v>
      </c>
      <c r="G545" s="16">
        <v>26</v>
      </c>
      <c r="H545" s="16">
        <v>3524</v>
      </c>
      <c r="I545" s="16">
        <v>329.2</v>
      </c>
      <c r="J545" s="19">
        <v>0.76700000000000002</v>
      </c>
      <c r="K545" s="16">
        <v>79.5</v>
      </c>
      <c r="L545" s="19">
        <v>0.80100000000000005</v>
      </c>
      <c r="M545" s="19">
        <v>3.5000000000000003E-2</v>
      </c>
      <c r="N545" s="21">
        <v>34075.230000000003</v>
      </c>
      <c r="O545" s="21">
        <v>25966.7</v>
      </c>
      <c r="P545" s="26">
        <v>8108.53</v>
      </c>
    </row>
    <row r="546" spans="1:16" x14ac:dyDescent="0.3">
      <c r="A546" s="25">
        <v>545</v>
      </c>
      <c r="B546" s="16" t="s">
        <v>49</v>
      </c>
      <c r="C546" s="16">
        <v>2024</v>
      </c>
      <c r="D546" s="16" t="s">
        <v>38</v>
      </c>
      <c r="E546" s="16" t="s">
        <v>27</v>
      </c>
      <c r="F546" s="16" t="s">
        <v>29</v>
      </c>
      <c r="G546" s="16">
        <v>37</v>
      </c>
      <c r="H546" s="16">
        <v>5568</v>
      </c>
      <c r="I546" s="16">
        <v>301.2</v>
      </c>
      <c r="J546" s="19">
        <v>0.68100000000000005</v>
      </c>
      <c r="K546" s="16">
        <v>76.099999999999994</v>
      </c>
      <c r="L546" s="19">
        <v>0.90600000000000003</v>
      </c>
      <c r="M546" s="19">
        <v>1.7999999999999999E-2</v>
      </c>
      <c r="N546" s="21">
        <v>45828.81</v>
      </c>
      <c r="O546" s="21">
        <v>31660.27</v>
      </c>
      <c r="P546" s="26">
        <v>14168.54</v>
      </c>
    </row>
    <row r="547" spans="1:16" x14ac:dyDescent="0.3">
      <c r="A547" s="25">
        <v>546</v>
      </c>
      <c r="B547" s="16" t="s">
        <v>49</v>
      </c>
      <c r="C547" s="16">
        <v>2024</v>
      </c>
      <c r="D547" s="16" t="s">
        <v>38</v>
      </c>
      <c r="E547" s="16" t="s">
        <v>30</v>
      </c>
      <c r="F547" s="16" t="s">
        <v>29</v>
      </c>
      <c r="G547" s="16">
        <v>48</v>
      </c>
      <c r="H547" s="16">
        <v>5203</v>
      </c>
      <c r="I547" s="16">
        <v>375.5</v>
      </c>
      <c r="J547" s="19">
        <v>0.64</v>
      </c>
      <c r="K547" s="16">
        <v>84.5</v>
      </c>
      <c r="L547" s="19">
        <v>0.91800000000000004</v>
      </c>
      <c r="M547" s="19">
        <v>2.4E-2</v>
      </c>
      <c r="N547" s="21">
        <v>48984.800000000003</v>
      </c>
      <c r="O547" s="21">
        <v>32057.56</v>
      </c>
      <c r="P547" s="26">
        <v>16927.240000000002</v>
      </c>
    </row>
    <row r="548" spans="1:16" x14ac:dyDescent="0.3">
      <c r="A548" s="25">
        <v>547</v>
      </c>
      <c r="B548" s="16" t="s">
        <v>49</v>
      </c>
      <c r="C548" s="16">
        <v>2024</v>
      </c>
      <c r="D548" s="16" t="s">
        <v>38</v>
      </c>
      <c r="E548" s="16" t="s">
        <v>34</v>
      </c>
      <c r="F548" s="16" t="s">
        <v>29</v>
      </c>
      <c r="G548" s="16">
        <v>45</v>
      </c>
      <c r="H548" s="16">
        <v>6653</v>
      </c>
      <c r="I548" s="16">
        <v>250.7</v>
      </c>
      <c r="J548" s="19">
        <v>0.60899999999999999</v>
      </c>
      <c r="K548" s="16">
        <v>83.3</v>
      </c>
      <c r="L548" s="19">
        <v>0.89200000000000002</v>
      </c>
      <c r="M548" s="19">
        <v>5.2999999999999999E-2</v>
      </c>
      <c r="N548" s="21">
        <v>58342.61</v>
      </c>
      <c r="O548" s="21">
        <v>42649.51</v>
      </c>
      <c r="P548" s="26">
        <v>15693.1</v>
      </c>
    </row>
    <row r="549" spans="1:16" x14ac:dyDescent="0.3">
      <c r="A549" s="25">
        <v>548</v>
      </c>
      <c r="B549" s="16" t="s">
        <v>49</v>
      </c>
      <c r="C549" s="16">
        <v>2024</v>
      </c>
      <c r="D549" s="16" t="s">
        <v>38</v>
      </c>
      <c r="E549" s="16" t="s">
        <v>34</v>
      </c>
      <c r="F549" s="16" t="s">
        <v>33</v>
      </c>
      <c r="G549" s="16">
        <v>42</v>
      </c>
      <c r="H549" s="16">
        <v>6028</v>
      </c>
      <c r="I549" s="16">
        <v>479.8</v>
      </c>
      <c r="J549" s="19">
        <v>0.70399999999999996</v>
      </c>
      <c r="K549" s="16">
        <v>79.7</v>
      </c>
      <c r="L549" s="19">
        <v>0.92300000000000004</v>
      </c>
      <c r="M549" s="19">
        <v>3.4000000000000002E-2</v>
      </c>
      <c r="N549" s="21">
        <v>60962.559999999998</v>
      </c>
      <c r="O549" s="21">
        <v>42223.61</v>
      </c>
      <c r="P549" s="26">
        <v>18738.95</v>
      </c>
    </row>
    <row r="550" spans="1:16" x14ac:dyDescent="0.3">
      <c r="A550" s="25">
        <v>549</v>
      </c>
      <c r="B550" s="16" t="s">
        <v>49</v>
      </c>
      <c r="C550" s="16">
        <v>2024</v>
      </c>
      <c r="D550" s="16" t="s">
        <v>38</v>
      </c>
      <c r="E550" s="16" t="s">
        <v>35</v>
      </c>
      <c r="F550" s="16" t="s">
        <v>33</v>
      </c>
      <c r="G550" s="16">
        <v>10</v>
      </c>
      <c r="H550" s="16">
        <v>1298</v>
      </c>
      <c r="I550" s="16">
        <v>588.1</v>
      </c>
      <c r="J550" s="19">
        <v>0.72599999999999998</v>
      </c>
      <c r="K550" s="16">
        <v>91.5</v>
      </c>
      <c r="L550" s="19">
        <v>0.91300000000000003</v>
      </c>
      <c r="M550" s="19">
        <v>4.5999999999999999E-2</v>
      </c>
      <c r="N550" s="21">
        <v>11990.4</v>
      </c>
      <c r="O550" s="21">
        <v>7666.11</v>
      </c>
      <c r="P550" s="26">
        <v>4324.29</v>
      </c>
    </row>
    <row r="551" spans="1:16" x14ac:dyDescent="0.3">
      <c r="A551" s="25">
        <v>550</v>
      </c>
      <c r="B551" s="16" t="s">
        <v>49</v>
      </c>
      <c r="C551" s="16">
        <v>2024</v>
      </c>
      <c r="D551" s="16" t="s">
        <v>38</v>
      </c>
      <c r="E551" s="16" t="s">
        <v>34</v>
      </c>
      <c r="F551" s="16" t="s">
        <v>36</v>
      </c>
      <c r="G551" s="16">
        <v>42</v>
      </c>
      <c r="H551" s="16">
        <v>5110</v>
      </c>
      <c r="I551" s="16">
        <v>973.4</v>
      </c>
      <c r="J551" s="19">
        <v>0.73599999999999999</v>
      </c>
      <c r="K551" s="16">
        <v>81.8</v>
      </c>
      <c r="L551" s="19">
        <v>1</v>
      </c>
      <c r="M551" s="19">
        <v>2.9000000000000001E-2</v>
      </c>
      <c r="N551" s="21">
        <v>50019.82</v>
      </c>
      <c r="O551" s="21">
        <v>31209.95</v>
      </c>
      <c r="P551" s="26">
        <v>18809.87</v>
      </c>
    </row>
    <row r="552" spans="1:16" x14ac:dyDescent="0.3">
      <c r="A552" s="25">
        <v>551</v>
      </c>
      <c r="B552" s="16" t="s">
        <v>49</v>
      </c>
      <c r="C552" s="16">
        <v>2024</v>
      </c>
      <c r="D552" s="16" t="s">
        <v>38</v>
      </c>
      <c r="E552" s="16" t="s">
        <v>31</v>
      </c>
      <c r="F552" s="16" t="s">
        <v>36</v>
      </c>
      <c r="G552" s="16">
        <v>18</v>
      </c>
      <c r="H552" s="16">
        <v>2537</v>
      </c>
      <c r="I552" s="16">
        <v>912.5</v>
      </c>
      <c r="J552" s="19">
        <v>0.74</v>
      </c>
      <c r="K552" s="16">
        <v>88.4</v>
      </c>
      <c r="L552" s="19">
        <v>0.79700000000000004</v>
      </c>
      <c r="M552" s="19">
        <v>0.05</v>
      </c>
      <c r="N552" s="21">
        <v>20656.68</v>
      </c>
      <c r="O552" s="21">
        <v>13523.73</v>
      </c>
      <c r="P552" s="26">
        <v>7132.95</v>
      </c>
    </row>
    <row r="553" spans="1:16" x14ac:dyDescent="0.3">
      <c r="A553" s="25">
        <v>552</v>
      </c>
      <c r="B553" s="16" t="s">
        <v>49</v>
      </c>
      <c r="C553" s="16">
        <v>2024</v>
      </c>
      <c r="D553" s="16" t="s">
        <v>38</v>
      </c>
      <c r="E553" s="16" t="s">
        <v>35</v>
      </c>
      <c r="F553" s="16" t="s">
        <v>36</v>
      </c>
      <c r="G553" s="16">
        <v>23</v>
      </c>
      <c r="H553" s="16">
        <v>3857</v>
      </c>
      <c r="I553" s="16">
        <v>835.2</v>
      </c>
      <c r="J553" s="19">
        <v>0.67900000000000005</v>
      </c>
      <c r="K553" s="16">
        <v>84.7</v>
      </c>
      <c r="L553" s="19">
        <v>0.78800000000000003</v>
      </c>
      <c r="M553" s="19">
        <v>4.4999999999999998E-2</v>
      </c>
      <c r="N553" s="21">
        <v>31403.94</v>
      </c>
      <c r="O553" s="21">
        <v>20383.96</v>
      </c>
      <c r="P553" s="26">
        <v>11019.98</v>
      </c>
    </row>
    <row r="554" spans="1:16" x14ac:dyDescent="0.3">
      <c r="A554" s="25">
        <v>553</v>
      </c>
      <c r="B554" s="16" t="s">
        <v>49</v>
      </c>
      <c r="C554" s="16">
        <v>2024</v>
      </c>
      <c r="D554" s="16" t="s">
        <v>38</v>
      </c>
      <c r="E554" s="16" t="s">
        <v>27</v>
      </c>
      <c r="F554" s="16" t="s">
        <v>37</v>
      </c>
      <c r="G554" s="16">
        <v>54</v>
      </c>
      <c r="H554" s="16">
        <v>6445</v>
      </c>
      <c r="I554" s="16">
        <v>604.70000000000005</v>
      </c>
      <c r="J554" s="19">
        <v>0.57199999999999995</v>
      </c>
      <c r="K554" s="16">
        <v>70.900000000000006</v>
      </c>
      <c r="L554" s="19">
        <v>0.88200000000000001</v>
      </c>
      <c r="M554" s="19">
        <v>2.7E-2</v>
      </c>
      <c r="N554" s="21">
        <v>56811.18</v>
      </c>
      <c r="O554" s="21">
        <v>41256.14</v>
      </c>
      <c r="P554" s="26">
        <v>15555.04</v>
      </c>
    </row>
    <row r="555" spans="1:16" x14ac:dyDescent="0.3">
      <c r="A555" s="25">
        <v>554</v>
      </c>
      <c r="B555" s="16" t="s">
        <v>49</v>
      </c>
      <c r="C555" s="16">
        <v>2024</v>
      </c>
      <c r="D555" s="16" t="s">
        <v>38</v>
      </c>
      <c r="E555" s="16" t="s">
        <v>30</v>
      </c>
      <c r="F555" s="16" t="s">
        <v>37</v>
      </c>
      <c r="G555" s="16">
        <v>39</v>
      </c>
      <c r="H555" s="16">
        <v>4114</v>
      </c>
      <c r="I555" s="16">
        <v>637.29999999999995</v>
      </c>
      <c r="J555" s="19">
        <v>0.64400000000000002</v>
      </c>
      <c r="K555" s="16">
        <v>78.7</v>
      </c>
      <c r="L555" s="19">
        <v>0.86099999999999999</v>
      </c>
      <c r="M555" s="19">
        <v>2.5000000000000001E-2</v>
      </c>
      <c r="N555" s="21">
        <v>46036.08</v>
      </c>
      <c r="O555" s="21">
        <v>33251.03</v>
      </c>
      <c r="P555" s="26">
        <v>12785.05</v>
      </c>
    </row>
    <row r="556" spans="1:16" x14ac:dyDescent="0.3">
      <c r="A556" s="25">
        <v>555</v>
      </c>
      <c r="B556" s="16" t="s">
        <v>49</v>
      </c>
      <c r="C556" s="16">
        <v>2024</v>
      </c>
      <c r="D556" s="16" t="s">
        <v>38</v>
      </c>
      <c r="E556" s="16" t="s">
        <v>35</v>
      </c>
      <c r="F556" s="16" t="s">
        <v>37</v>
      </c>
      <c r="G556" s="16">
        <v>64</v>
      </c>
      <c r="H556" s="16">
        <v>7637</v>
      </c>
      <c r="I556" s="16">
        <v>595.29999999999995</v>
      </c>
      <c r="J556" s="19">
        <v>0.70299999999999996</v>
      </c>
      <c r="K556" s="16">
        <v>77.900000000000006</v>
      </c>
      <c r="L556" s="19">
        <v>0.75600000000000001</v>
      </c>
      <c r="M556" s="19">
        <v>3.5000000000000003E-2</v>
      </c>
      <c r="N556" s="21">
        <v>100807.24</v>
      </c>
      <c r="O556" s="21">
        <v>66821.06</v>
      </c>
      <c r="P556" s="26">
        <v>33986.18</v>
      </c>
    </row>
    <row r="557" spans="1:16" x14ac:dyDescent="0.3">
      <c r="A557" s="25">
        <v>556</v>
      </c>
      <c r="B557" s="16" t="s">
        <v>49</v>
      </c>
      <c r="C557" s="16">
        <v>2024</v>
      </c>
      <c r="D557" s="16" t="s">
        <v>39</v>
      </c>
      <c r="E557" s="16" t="s">
        <v>32</v>
      </c>
      <c r="F557" s="16" t="s">
        <v>28</v>
      </c>
      <c r="G557" s="16">
        <v>22</v>
      </c>
      <c r="H557" s="16">
        <v>3617</v>
      </c>
      <c r="I557" s="16">
        <v>390.5</v>
      </c>
      <c r="J557" s="19">
        <v>0.73</v>
      </c>
      <c r="K557" s="16">
        <v>69.7</v>
      </c>
      <c r="L557" s="19">
        <v>0.88600000000000001</v>
      </c>
      <c r="M557" s="19">
        <v>2.5999999999999999E-2</v>
      </c>
      <c r="N557" s="21">
        <v>35563.589999999997</v>
      </c>
      <c r="O557" s="21">
        <v>24174.39</v>
      </c>
      <c r="P557" s="26">
        <v>11389.2</v>
      </c>
    </row>
    <row r="558" spans="1:16" x14ac:dyDescent="0.3">
      <c r="A558" s="25">
        <v>557</v>
      </c>
      <c r="B558" s="16" t="s">
        <v>49</v>
      </c>
      <c r="C558" s="16">
        <v>2024</v>
      </c>
      <c r="D558" s="16" t="s">
        <v>39</v>
      </c>
      <c r="E558" s="16" t="s">
        <v>30</v>
      </c>
      <c r="F558" s="16" t="s">
        <v>28</v>
      </c>
      <c r="G558" s="16">
        <v>62</v>
      </c>
      <c r="H558" s="16">
        <v>10089</v>
      </c>
      <c r="I558" s="16">
        <v>460.9</v>
      </c>
      <c r="J558" s="19">
        <v>0.748</v>
      </c>
      <c r="K558" s="16">
        <v>68.5</v>
      </c>
      <c r="L558" s="19">
        <v>1</v>
      </c>
      <c r="M558" s="19">
        <v>3.3000000000000002E-2</v>
      </c>
      <c r="N558" s="21">
        <v>92466.76</v>
      </c>
      <c r="O558" s="21">
        <v>57518.25</v>
      </c>
      <c r="P558" s="26">
        <v>34948.51</v>
      </c>
    </row>
    <row r="559" spans="1:16" x14ac:dyDescent="0.3">
      <c r="A559" s="25">
        <v>558</v>
      </c>
      <c r="B559" s="16" t="s">
        <v>49</v>
      </c>
      <c r="C559" s="16">
        <v>2024</v>
      </c>
      <c r="D559" s="16" t="s">
        <v>39</v>
      </c>
      <c r="E559" s="16" t="s">
        <v>34</v>
      </c>
      <c r="F559" s="16" t="s">
        <v>28</v>
      </c>
      <c r="G559" s="16">
        <v>15</v>
      </c>
      <c r="H559" s="16">
        <v>1867</v>
      </c>
      <c r="I559" s="16">
        <v>412.7</v>
      </c>
      <c r="J559" s="19">
        <v>0.71399999999999997</v>
      </c>
      <c r="K559" s="16">
        <v>68.2</v>
      </c>
      <c r="L559" s="19">
        <v>0.85299999999999998</v>
      </c>
      <c r="M559" s="19">
        <v>2.9000000000000001E-2</v>
      </c>
      <c r="N559" s="21">
        <v>27011.23</v>
      </c>
      <c r="O559" s="21">
        <v>20902.009999999998</v>
      </c>
      <c r="P559" s="26">
        <v>6109.22</v>
      </c>
    </row>
    <row r="560" spans="1:16" x14ac:dyDescent="0.3">
      <c r="A560" s="25">
        <v>559</v>
      </c>
      <c r="B560" s="16" t="s">
        <v>49</v>
      </c>
      <c r="C560" s="16">
        <v>2024</v>
      </c>
      <c r="D560" s="16" t="s">
        <v>39</v>
      </c>
      <c r="E560" s="16" t="s">
        <v>31</v>
      </c>
      <c r="F560" s="16" t="s">
        <v>28</v>
      </c>
      <c r="G560" s="16">
        <v>43</v>
      </c>
      <c r="H560" s="16">
        <v>5916</v>
      </c>
      <c r="I560" s="16">
        <v>353.9</v>
      </c>
      <c r="J560" s="19">
        <v>0.71799999999999997</v>
      </c>
      <c r="K560" s="16">
        <v>86.4</v>
      </c>
      <c r="L560" s="19">
        <v>0.876</v>
      </c>
      <c r="M560" s="19">
        <v>3.2000000000000001E-2</v>
      </c>
      <c r="N560" s="21">
        <v>66719.86</v>
      </c>
      <c r="O560" s="21">
        <v>48505.37</v>
      </c>
      <c r="P560" s="26">
        <v>18214.490000000002</v>
      </c>
    </row>
    <row r="561" spans="1:16" x14ac:dyDescent="0.3">
      <c r="A561" s="25">
        <v>560</v>
      </c>
      <c r="B561" s="16" t="s">
        <v>49</v>
      </c>
      <c r="C561" s="16">
        <v>2024</v>
      </c>
      <c r="D561" s="16" t="s">
        <v>39</v>
      </c>
      <c r="E561" s="16" t="s">
        <v>32</v>
      </c>
      <c r="F561" s="16" t="s">
        <v>29</v>
      </c>
      <c r="G561" s="16">
        <v>54</v>
      </c>
      <c r="H561" s="16">
        <v>7419</v>
      </c>
      <c r="I561" s="16">
        <v>229.9</v>
      </c>
      <c r="J561" s="19">
        <v>0.59799999999999998</v>
      </c>
      <c r="K561" s="16">
        <v>81.400000000000006</v>
      </c>
      <c r="L561" s="19">
        <v>0.97099999999999997</v>
      </c>
      <c r="M561" s="19">
        <v>3.2000000000000001E-2</v>
      </c>
      <c r="N561" s="21">
        <v>73185.919999999998</v>
      </c>
      <c r="O561" s="21">
        <v>48715.41</v>
      </c>
      <c r="P561" s="26">
        <v>24470.51</v>
      </c>
    </row>
    <row r="562" spans="1:16" x14ac:dyDescent="0.3">
      <c r="A562" s="25">
        <v>561</v>
      </c>
      <c r="B562" s="16" t="s">
        <v>49</v>
      </c>
      <c r="C562" s="16">
        <v>2024</v>
      </c>
      <c r="D562" s="16" t="s">
        <v>39</v>
      </c>
      <c r="E562" s="16" t="s">
        <v>30</v>
      </c>
      <c r="F562" s="16" t="s">
        <v>29</v>
      </c>
      <c r="G562" s="16">
        <v>42</v>
      </c>
      <c r="H562" s="16">
        <v>5329</v>
      </c>
      <c r="I562" s="16">
        <v>415.7</v>
      </c>
      <c r="J562" s="19">
        <v>0.66700000000000004</v>
      </c>
      <c r="K562" s="16">
        <v>73.8</v>
      </c>
      <c r="L562" s="19">
        <v>0.98099999999999998</v>
      </c>
      <c r="M562" s="19">
        <v>4.2999999999999997E-2</v>
      </c>
      <c r="N562" s="21">
        <v>72245.259999999995</v>
      </c>
      <c r="O562" s="21">
        <v>51122.09</v>
      </c>
      <c r="P562" s="26">
        <v>21123.17</v>
      </c>
    </row>
    <row r="563" spans="1:16" x14ac:dyDescent="0.3">
      <c r="A563" s="25">
        <v>562</v>
      </c>
      <c r="B563" s="16" t="s">
        <v>49</v>
      </c>
      <c r="C563" s="16">
        <v>2024</v>
      </c>
      <c r="D563" s="16" t="s">
        <v>39</v>
      </c>
      <c r="E563" s="16" t="s">
        <v>34</v>
      </c>
      <c r="F563" s="16" t="s">
        <v>29</v>
      </c>
      <c r="G563" s="16">
        <v>39</v>
      </c>
      <c r="H563" s="16">
        <v>5169</v>
      </c>
      <c r="I563" s="16">
        <v>288.3</v>
      </c>
      <c r="J563" s="19">
        <v>0.626</v>
      </c>
      <c r="K563" s="16">
        <v>84.2</v>
      </c>
      <c r="L563" s="19">
        <v>0.95799999999999996</v>
      </c>
      <c r="M563" s="19">
        <v>0.03</v>
      </c>
      <c r="N563" s="21">
        <v>56393.48</v>
      </c>
      <c r="O563" s="21">
        <v>38130.800000000003</v>
      </c>
      <c r="P563" s="26">
        <v>18262.68</v>
      </c>
    </row>
    <row r="564" spans="1:16" x14ac:dyDescent="0.3">
      <c r="A564" s="25">
        <v>563</v>
      </c>
      <c r="B564" s="16" t="s">
        <v>49</v>
      </c>
      <c r="C564" s="16">
        <v>2024</v>
      </c>
      <c r="D564" s="16" t="s">
        <v>39</v>
      </c>
      <c r="E564" s="16" t="s">
        <v>30</v>
      </c>
      <c r="F564" s="16" t="s">
        <v>33</v>
      </c>
      <c r="G564" s="16">
        <v>55</v>
      </c>
      <c r="H564" s="16">
        <v>6986</v>
      </c>
      <c r="I564" s="16">
        <v>490.3</v>
      </c>
      <c r="J564" s="19">
        <v>0.747</v>
      </c>
      <c r="K564" s="16">
        <v>91.7</v>
      </c>
      <c r="L564" s="19">
        <v>1</v>
      </c>
      <c r="M564" s="19">
        <v>0.02</v>
      </c>
      <c r="N564" s="21">
        <v>75676.52</v>
      </c>
      <c r="O564" s="21">
        <v>52363.3</v>
      </c>
      <c r="P564" s="26">
        <v>23313.22</v>
      </c>
    </row>
    <row r="565" spans="1:16" x14ac:dyDescent="0.3">
      <c r="A565" s="25">
        <v>564</v>
      </c>
      <c r="B565" s="16" t="s">
        <v>49</v>
      </c>
      <c r="C565" s="16">
        <v>2024</v>
      </c>
      <c r="D565" s="16" t="s">
        <v>39</v>
      </c>
      <c r="E565" s="16" t="s">
        <v>32</v>
      </c>
      <c r="F565" s="16" t="s">
        <v>36</v>
      </c>
      <c r="G565" s="16">
        <v>57</v>
      </c>
      <c r="H565" s="16">
        <v>8937</v>
      </c>
      <c r="I565" s="16">
        <v>913.5</v>
      </c>
      <c r="J565" s="19">
        <v>0.66400000000000003</v>
      </c>
      <c r="K565" s="16">
        <v>86.9</v>
      </c>
      <c r="L565" s="19">
        <v>0.94099999999999995</v>
      </c>
      <c r="M565" s="19">
        <v>0.03</v>
      </c>
      <c r="N565" s="21">
        <v>55525.52</v>
      </c>
      <c r="O565" s="21">
        <v>35741.56</v>
      </c>
      <c r="P565" s="26">
        <v>19783.96</v>
      </c>
    </row>
    <row r="566" spans="1:16" x14ac:dyDescent="0.3">
      <c r="A566" s="25">
        <v>565</v>
      </c>
      <c r="B566" s="16" t="s">
        <v>49</v>
      </c>
      <c r="C566" s="16">
        <v>2024</v>
      </c>
      <c r="D566" s="16" t="s">
        <v>39</v>
      </c>
      <c r="E566" s="16" t="s">
        <v>27</v>
      </c>
      <c r="F566" s="16" t="s">
        <v>36</v>
      </c>
      <c r="G566" s="16">
        <v>69</v>
      </c>
      <c r="H566" s="16">
        <v>10114</v>
      </c>
      <c r="I566" s="16">
        <v>909.6</v>
      </c>
      <c r="J566" s="19">
        <v>0.72899999999999998</v>
      </c>
      <c r="K566" s="16">
        <v>77</v>
      </c>
      <c r="L566" s="19">
        <v>1</v>
      </c>
      <c r="M566" s="19">
        <v>4.5999999999999999E-2</v>
      </c>
      <c r="N566" s="21">
        <v>106989.96</v>
      </c>
      <c r="O566" s="21">
        <v>73479.820000000007</v>
      </c>
      <c r="P566" s="26">
        <v>33510.14</v>
      </c>
    </row>
    <row r="567" spans="1:16" x14ac:dyDescent="0.3">
      <c r="A567" s="25">
        <v>566</v>
      </c>
      <c r="B567" s="16" t="s">
        <v>49</v>
      </c>
      <c r="C567" s="16">
        <v>2024</v>
      </c>
      <c r="D567" s="16" t="s">
        <v>39</v>
      </c>
      <c r="E567" s="16" t="s">
        <v>30</v>
      </c>
      <c r="F567" s="16" t="s">
        <v>36</v>
      </c>
      <c r="G567" s="16">
        <v>33</v>
      </c>
      <c r="H567" s="16">
        <v>4510</v>
      </c>
      <c r="I567" s="16">
        <v>917.4</v>
      </c>
      <c r="J567" s="19">
        <v>0.67600000000000005</v>
      </c>
      <c r="K567" s="16">
        <v>84.7</v>
      </c>
      <c r="L567" s="19">
        <v>0.84</v>
      </c>
      <c r="M567" s="19">
        <v>3.3000000000000002E-2</v>
      </c>
      <c r="N567" s="21">
        <v>49333.98</v>
      </c>
      <c r="O567" s="21">
        <v>35167.06</v>
      </c>
      <c r="P567" s="26">
        <v>14166.92</v>
      </c>
    </row>
    <row r="568" spans="1:16" x14ac:dyDescent="0.3">
      <c r="A568" s="25">
        <v>567</v>
      </c>
      <c r="B568" s="16" t="s">
        <v>49</v>
      </c>
      <c r="C568" s="16">
        <v>2024</v>
      </c>
      <c r="D568" s="16" t="s">
        <v>39</v>
      </c>
      <c r="E568" s="16" t="s">
        <v>34</v>
      </c>
      <c r="F568" s="16" t="s">
        <v>36</v>
      </c>
      <c r="G568" s="16">
        <v>62</v>
      </c>
      <c r="H568" s="16">
        <v>7148</v>
      </c>
      <c r="I568" s="16">
        <v>918.7</v>
      </c>
      <c r="J568" s="19">
        <v>0.63</v>
      </c>
      <c r="K568" s="16">
        <v>76.400000000000006</v>
      </c>
      <c r="L568" s="19">
        <v>0.84299999999999997</v>
      </c>
      <c r="M568" s="19">
        <v>2.4E-2</v>
      </c>
      <c r="N568" s="21">
        <v>76274.509999999995</v>
      </c>
      <c r="O568" s="21">
        <v>58297.11</v>
      </c>
      <c r="P568" s="26">
        <v>17977.400000000001</v>
      </c>
    </row>
    <row r="569" spans="1:16" x14ac:dyDescent="0.3">
      <c r="A569" s="25">
        <v>568</v>
      </c>
      <c r="B569" s="16" t="s">
        <v>49</v>
      </c>
      <c r="C569" s="16">
        <v>2024</v>
      </c>
      <c r="D569" s="16" t="s">
        <v>39</v>
      </c>
      <c r="E569" s="16" t="s">
        <v>30</v>
      </c>
      <c r="F569" s="16" t="s">
        <v>37</v>
      </c>
      <c r="G569" s="16">
        <v>44</v>
      </c>
      <c r="H569" s="16">
        <v>6318</v>
      </c>
      <c r="I569" s="16">
        <v>668</v>
      </c>
      <c r="J569" s="19">
        <v>0.746</v>
      </c>
      <c r="K569" s="16">
        <v>81.400000000000006</v>
      </c>
      <c r="L569" s="19">
        <v>1</v>
      </c>
      <c r="M569" s="19">
        <v>2.1000000000000001E-2</v>
      </c>
      <c r="N569" s="21">
        <v>67535.839999999997</v>
      </c>
      <c r="O569" s="21">
        <v>51485.95</v>
      </c>
      <c r="P569" s="26">
        <v>16049.89</v>
      </c>
    </row>
    <row r="570" spans="1:16" x14ac:dyDescent="0.3">
      <c r="A570" s="25">
        <v>569</v>
      </c>
      <c r="B570" s="16" t="s">
        <v>49</v>
      </c>
      <c r="C570" s="16">
        <v>2024</v>
      </c>
      <c r="D570" s="16" t="s">
        <v>39</v>
      </c>
      <c r="E570" s="16" t="s">
        <v>31</v>
      </c>
      <c r="F570" s="16" t="s">
        <v>37</v>
      </c>
      <c r="G570" s="16">
        <v>43</v>
      </c>
      <c r="H570" s="16">
        <v>7060</v>
      </c>
      <c r="I570" s="16">
        <v>594.6</v>
      </c>
      <c r="J570" s="19">
        <v>0.73799999999999999</v>
      </c>
      <c r="K570" s="16">
        <v>78.400000000000006</v>
      </c>
      <c r="L570" s="19">
        <v>0.86699999999999999</v>
      </c>
      <c r="M570" s="19">
        <v>2.7E-2</v>
      </c>
      <c r="N570" s="21">
        <v>65168.959999999999</v>
      </c>
      <c r="O570" s="21">
        <v>40653.800000000003</v>
      </c>
      <c r="P570" s="26">
        <v>24515.16</v>
      </c>
    </row>
    <row r="571" spans="1:16" x14ac:dyDescent="0.3">
      <c r="A571" s="25">
        <v>570</v>
      </c>
      <c r="B571" s="16" t="s">
        <v>49</v>
      </c>
      <c r="C571" s="16">
        <v>2024</v>
      </c>
      <c r="D571" s="16" t="s">
        <v>40</v>
      </c>
      <c r="E571" s="16" t="s">
        <v>31</v>
      </c>
      <c r="F571" s="16" t="s">
        <v>28</v>
      </c>
      <c r="G571" s="16">
        <v>23</v>
      </c>
      <c r="H571" s="16">
        <v>3155</v>
      </c>
      <c r="I571" s="16">
        <v>454.5</v>
      </c>
      <c r="J571" s="19">
        <v>0.67800000000000005</v>
      </c>
      <c r="K571" s="16">
        <v>87.1</v>
      </c>
      <c r="L571" s="19">
        <v>0.95699999999999996</v>
      </c>
      <c r="M571" s="19">
        <v>3.3000000000000002E-2</v>
      </c>
      <c r="N571" s="21">
        <v>35790.83</v>
      </c>
      <c r="O571" s="21">
        <v>24921.82</v>
      </c>
      <c r="P571" s="26">
        <v>10869.01</v>
      </c>
    </row>
    <row r="572" spans="1:16" x14ac:dyDescent="0.3">
      <c r="A572" s="25">
        <v>571</v>
      </c>
      <c r="B572" s="16" t="s">
        <v>49</v>
      </c>
      <c r="C572" s="16">
        <v>2024</v>
      </c>
      <c r="D572" s="16" t="s">
        <v>40</v>
      </c>
      <c r="E572" s="16" t="s">
        <v>35</v>
      </c>
      <c r="F572" s="16" t="s">
        <v>28</v>
      </c>
      <c r="G572" s="16">
        <v>46</v>
      </c>
      <c r="H572" s="16">
        <v>5930</v>
      </c>
      <c r="I572" s="16">
        <v>420.1</v>
      </c>
      <c r="J572" s="19">
        <v>0.872</v>
      </c>
      <c r="K572" s="16">
        <v>76.3</v>
      </c>
      <c r="L572" s="19">
        <v>0.98299999999999998</v>
      </c>
      <c r="M572" s="19">
        <v>1.6E-2</v>
      </c>
      <c r="N572" s="21">
        <v>83762.55</v>
      </c>
      <c r="O572" s="21">
        <v>63605.5</v>
      </c>
      <c r="P572" s="26">
        <v>20157.05</v>
      </c>
    </row>
    <row r="573" spans="1:16" x14ac:dyDescent="0.3">
      <c r="A573" s="25">
        <v>572</v>
      </c>
      <c r="B573" s="16" t="s">
        <v>49</v>
      </c>
      <c r="C573" s="16">
        <v>2024</v>
      </c>
      <c r="D573" s="16" t="s">
        <v>40</v>
      </c>
      <c r="E573" s="16" t="s">
        <v>27</v>
      </c>
      <c r="F573" s="16" t="s">
        <v>29</v>
      </c>
      <c r="G573" s="16">
        <v>59</v>
      </c>
      <c r="H573" s="16">
        <v>8184</v>
      </c>
      <c r="I573" s="16">
        <v>370.6</v>
      </c>
      <c r="J573" s="19">
        <v>0.81699999999999995</v>
      </c>
      <c r="K573" s="16">
        <v>87.7</v>
      </c>
      <c r="L573" s="19">
        <v>1</v>
      </c>
      <c r="M573" s="19">
        <v>0.03</v>
      </c>
      <c r="N573" s="21">
        <v>97303.3</v>
      </c>
      <c r="O573" s="21">
        <v>67838.67</v>
      </c>
      <c r="P573" s="26">
        <v>29464.63</v>
      </c>
    </row>
    <row r="574" spans="1:16" x14ac:dyDescent="0.3">
      <c r="A574" s="25">
        <v>573</v>
      </c>
      <c r="B574" s="16" t="s">
        <v>49</v>
      </c>
      <c r="C574" s="16">
        <v>2024</v>
      </c>
      <c r="D574" s="16" t="s">
        <v>40</v>
      </c>
      <c r="E574" s="16" t="s">
        <v>34</v>
      </c>
      <c r="F574" s="16" t="s">
        <v>29</v>
      </c>
      <c r="G574" s="16">
        <v>32</v>
      </c>
      <c r="H574" s="16">
        <v>4948</v>
      </c>
      <c r="I574" s="16">
        <v>334.7</v>
      </c>
      <c r="J574" s="19">
        <v>0.62</v>
      </c>
      <c r="K574" s="16">
        <v>82.9</v>
      </c>
      <c r="L574" s="19">
        <v>0.91100000000000003</v>
      </c>
      <c r="M574" s="19">
        <v>0.01</v>
      </c>
      <c r="N574" s="21">
        <v>42642.74</v>
      </c>
      <c r="O574" s="21">
        <v>29266.09</v>
      </c>
      <c r="P574" s="26">
        <v>13376.65</v>
      </c>
    </row>
    <row r="575" spans="1:16" x14ac:dyDescent="0.3">
      <c r="A575" s="25">
        <v>574</v>
      </c>
      <c r="B575" s="16" t="s">
        <v>49</v>
      </c>
      <c r="C575" s="16">
        <v>2024</v>
      </c>
      <c r="D575" s="16" t="s">
        <v>40</v>
      </c>
      <c r="E575" s="16" t="s">
        <v>31</v>
      </c>
      <c r="F575" s="16" t="s">
        <v>29</v>
      </c>
      <c r="G575" s="16">
        <v>25</v>
      </c>
      <c r="H575" s="16">
        <v>3019</v>
      </c>
      <c r="I575" s="16">
        <v>246.5</v>
      </c>
      <c r="J575" s="19">
        <v>0.73</v>
      </c>
      <c r="K575" s="16">
        <v>87.7</v>
      </c>
      <c r="L575" s="19">
        <v>0.97299999999999998</v>
      </c>
      <c r="M575" s="19">
        <v>2.8000000000000001E-2</v>
      </c>
      <c r="N575" s="21">
        <v>35771.519999999997</v>
      </c>
      <c r="O575" s="21">
        <v>22369.66</v>
      </c>
      <c r="P575" s="26">
        <v>13401.86</v>
      </c>
    </row>
    <row r="576" spans="1:16" x14ac:dyDescent="0.3">
      <c r="A576" s="25">
        <v>575</v>
      </c>
      <c r="B576" s="16" t="s">
        <v>49</v>
      </c>
      <c r="C576" s="16">
        <v>2024</v>
      </c>
      <c r="D576" s="16" t="s">
        <v>40</v>
      </c>
      <c r="E576" s="16" t="s">
        <v>34</v>
      </c>
      <c r="F576" s="16" t="s">
        <v>33</v>
      </c>
      <c r="G576" s="16">
        <v>48</v>
      </c>
      <c r="H576" s="16">
        <v>6495</v>
      </c>
      <c r="I576" s="16">
        <v>509.8</v>
      </c>
      <c r="J576" s="19">
        <v>0.746</v>
      </c>
      <c r="K576" s="16">
        <v>84.2</v>
      </c>
      <c r="L576" s="19">
        <v>0.90400000000000003</v>
      </c>
      <c r="M576" s="19">
        <v>1.6E-2</v>
      </c>
      <c r="N576" s="21">
        <v>75349.88</v>
      </c>
      <c r="O576" s="21">
        <v>53075.93</v>
      </c>
      <c r="P576" s="26">
        <v>22273.95</v>
      </c>
    </row>
    <row r="577" spans="1:16" x14ac:dyDescent="0.3">
      <c r="A577" s="25">
        <v>576</v>
      </c>
      <c r="B577" s="16" t="s">
        <v>49</v>
      </c>
      <c r="C577" s="16">
        <v>2024</v>
      </c>
      <c r="D577" s="16" t="s">
        <v>40</v>
      </c>
      <c r="E577" s="16" t="s">
        <v>32</v>
      </c>
      <c r="F577" s="16" t="s">
        <v>36</v>
      </c>
      <c r="G577" s="16">
        <v>48</v>
      </c>
      <c r="H577" s="16">
        <v>5942</v>
      </c>
      <c r="I577" s="16">
        <v>876.5</v>
      </c>
      <c r="J577" s="19">
        <v>0.71399999999999997</v>
      </c>
      <c r="K577" s="16">
        <v>78.3</v>
      </c>
      <c r="L577" s="19">
        <v>0.84599999999999997</v>
      </c>
      <c r="M577" s="19">
        <v>2.8000000000000001E-2</v>
      </c>
      <c r="N577" s="21">
        <v>75998.37</v>
      </c>
      <c r="O577" s="21">
        <v>52753.7</v>
      </c>
      <c r="P577" s="26">
        <v>23244.67</v>
      </c>
    </row>
    <row r="578" spans="1:16" x14ac:dyDescent="0.3">
      <c r="A578" s="25">
        <v>577</v>
      </c>
      <c r="B578" s="16" t="s">
        <v>49</v>
      </c>
      <c r="C578" s="16">
        <v>2024</v>
      </c>
      <c r="D578" s="16" t="s">
        <v>40</v>
      </c>
      <c r="E578" s="16" t="s">
        <v>27</v>
      </c>
      <c r="F578" s="16" t="s">
        <v>36</v>
      </c>
      <c r="G578" s="16">
        <v>53</v>
      </c>
      <c r="H578" s="16">
        <v>6553</v>
      </c>
      <c r="I578" s="16">
        <v>941.6</v>
      </c>
      <c r="J578" s="19">
        <v>0.624</v>
      </c>
      <c r="K578" s="16">
        <v>86.4</v>
      </c>
      <c r="L578" s="19">
        <v>0.88800000000000001</v>
      </c>
      <c r="M578" s="19">
        <v>1.6E-2</v>
      </c>
      <c r="N578" s="21">
        <v>57411.66</v>
      </c>
      <c r="O578" s="21">
        <v>37866.03</v>
      </c>
      <c r="P578" s="26">
        <v>19545.63</v>
      </c>
    </row>
    <row r="579" spans="1:16" x14ac:dyDescent="0.3">
      <c r="A579" s="25">
        <v>578</v>
      </c>
      <c r="B579" s="16" t="s">
        <v>49</v>
      </c>
      <c r="C579" s="16">
        <v>2024</v>
      </c>
      <c r="D579" s="16" t="s">
        <v>40</v>
      </c>
      <c r="E579" s="16" t="s">
        <v>30</v>
      </c>
      <c r="F579" s="16" t="s">
        <v>36</v>
      </c>
      <c r="G579" s="16">
        <v>53</v>
      </c>
      <c r="H579" s="16">
        <v>6897</v>
      </c>
      <c r="I579" s="16">
        <v>895.4</v>
      </c>
      <c r="J579" s="19">
        <v>0.70899999999999996</v>
      </c>
      <c r="K579" s="16">
        <v>80.2</v>
      </c>
      <c r="L579" s="19">
        <v>0.99199999999999999</v>
      </c>
      <c r="M579" s="19">
        <v>2.7E-2</v>
      </c>
      <c r="N579" s="21">
        <v>65194.43</v>
      </c>
      <c r="O579" s="21">
        <v>47299.06</v>
      </c>
      <c r="P579" s="26">
        <v>17895.37</v>
      </c>
    </row>
    <row r="580" spans="1:16" x14ac:dyDescent="0.3">
      <c r="A580" s="25">
        <v>579</v>
      </c>
      <c r="B580" s="16" t="s">
        <v>49</v>
      </c>
      <c r="C580" s="16">
        <v>2024</v>
      </c>
      <c r="D580" s="16" t="s">
        <v>40</v>
      </c>
      <c r="E580" s="16" t="s">
        <v>34</v>
      </c>
      <c r="F580" s="16" t="s">
        <v>36</v>
      </c>
      <c r="G580" s="16">
        <v>32</v>
      </c>
      <c r="H580" s="16">
        <v>3560</v>
      </c>
      <c r="I580" s="16">
        <v>912.1</v>
      </c>
      <c r="J580" s="19">
        <v>0.66700000000000004</v>
      </c>
      <c r="K580" s="16">
        <v>93.3</v>
      </c>
      <c r="L580" s="19">
        <v>0.85199999999999998</v>
      </c>
      <c r="M580" s="19">
        <v>2.5000000000000001E-2</v>
      </c>
      <c r="N580" s="21">
        <v>35610.769999999997</v>
      </c>
      <c r="O580" s="21">
        <v>23982.94</v>
      </c>
      <c r="P580" s="26">
        <v>11627.83</v>
      </c>
    </row>
    <row r="581" spans="1:16" x14ac:dyDescent="0.3">
      <c r="A581" s="25">
        <v>580</v>
      </c>
      <c r="B581" s="16" t="s">
        <v>49</v>
      </c>
      <c r="C581" s="16">
        <v>2024</v>
      </c>
      <c r="D581" s="16" t="s">
        <v>40</v>
      </c>
      <c r="E581" s="16" t="s">
        <v>32</v>
      </c>
      <c r="F581" s="16" t="s">
        <v>37</v>
      </c>
      <c r="G581" s="16">
        <v>45</v>
      </c>
      <c r="H581" s="16">
        <v>6851</v>
      </c>
      <c r="I581" s="16">
        <v>640.6</v>
      </c>
      <c r="J581" s="19">
        <v>0.67700000000000005</v>
      </c>
      <c r="K581" s="16">
        <v>80.900000000000006</v>
      </c>
      <c r="L581" s="19">
        <v>0.93500000000000005</v>
      </c>
      <c r="M581" s="19">
        <v>3.2000000000000001E-2</v>
      </c>
      <c r="N581" s="21">
        <v>58182.83</v>
      </c>
      <c r="O581" s="21">
        <v>36300.42</v>
      </c>
      <c r="P581" s="26">
        <v>21882.41</v>
      </c>
    </row>
    <row r="582" spans="1:16" x14ac:dyDescent="0.3">
      <c r="A582" s="25">
        <v>581</v>
      </c>
      <c r="B582" s="16" t="s">
        <v>49</v>
      </c>
      <c r="C582" s="16">
        <v>2024</v>
      </c>
      <c r="D582" s="16" t="s">
        <v>40</v>
      </c>
      <c r="E582" s="16" t="s">
        <v>27</v>
      </c>
      <c r="F582" s="16" t="s">
        <v>37</v>
      </c>
      <c r="G582" s="16">
        <v>22</v>
      </c>
      <c r="H582" s="16">
        <v>3088</v>
      </c>
      <c r="I582" s="16">
        <v>735.7</v>
      </c>
      <c r="J582" s="19">
        <v>0.627</v>
      </c>
      <c r="K582" s="16">
        <v>77.099999999999994</v>
      </c>
      <c r="L582" s="19">
        <v>0.94299999999999995</v>
      </c>
      <c r="M582" s="19">
        <v>1.6E-2</v>
      </c>
      <c r="N582" s="21">
        <v>29517.91</v>
      </c>
      <c r="O582" s="21">
        <v>19514.66</v>
      </c>
      <c r="P582" s="26">
        <v>10003.25</v>
      </c>
    </row>
    <row r="583" spans="1:16" x14ac:dyDescent="0.3">
      <c r="A583" s="25">
        <v>582</v>
      </c>
      <c r="B583" s="16" t="s">
        <v>49</v>
      </c>
      <c r="C583" s="16">
        <v>2024</v>
      </c>
      <c r="D583" s="16" t="s">
        <v>41</v>
      </c>
      <c r="E583" s="16" t="s">
        <v>31</v>
      </c>
      <c r="F583" s="16" t="s">
        <v>28</v>
      </c>
      <c r="G583" s="16">
        <v>47</v>
      </c>
      <c r="H583" s="16">
        <v>7088</v>
      </c>
      <c r="I583" s="16">
        <v>370</v>
      </c>
      <c r="J583" s="19">
        <v>0.68799999999999994</v>
      </c>
      <c r="K583" s="16">
        <v>93.9</v>
      </c>
      <c r="L583" s="19">
        <v>0.96799999999999997</v>
      </c>
      <c r="M583" s="19">
        <v>1.4E-2</v>
      </c>
      <c r="N583" s="21">
        <v>80015.070000000007</v>
      </c>
      <c r="O583" s="21">
        <v>61696.03</v>
      </c>
      <c r="P583" s="26">
        <v>18319.04</v>
      </c>
    </row>
    <row r="584" spans="1:16" x14ac:dyDescent="0.3">
      <c r="A584" s="25">
        <v>583</v>
      </c>
      <c r="B584" s="16" t="s">
        <v>49</v>
      </c>
      <c r="C584" s="16">
        <v>2024</v>
      </c>
      <c r="D584" s="16" t="s">
        <v>41</v>
      </c>
      <c r="E584" s="16" t="s">
        <v>32</v>
      </c>
      <c r="F584" s="16" t="s">
        <v>29</v>
      </c>
      <c r="G584" s="16">
        <v>24</v>
      </c>
      <c r="H584" s="16">
        <v>3102</v>
      </c>
      <c r="I584" s="16">
        <v>389.5</v>
      </c>
      <c r="J584" s="19">
        <v>0.59399999999999997</v>
      </c>
      <c r="K584" s="16">
        <v>78.3</v>
      </c>
      <c r="L584" s="19">
        <v>0.91200000000000003</v>
      </c>
      <c r="M584" s="19">
        <v>3.5000000000000003E-2</v>
      </c>
      <c r="N584" s="21">
        <v>43168.63</v>
      </c>
      <c r="O584" s="21">
        <v>29800.22</v>
      </c>
      <c r="P584" s="26">
        <v>13368.41</v>
      </c>
    </row>
    <row r="585" spans="1:16" x14ac:dyDescent="0.3">
      <c r="A585" s="25">
        <v>584</v>
      </c>
      <c r="B585" s="16" t="s">
        <v>49</v>
      </c>
      <c r="C585" s="16">
        <v>2024</v>
      </c>
      <c r="D585" s="16" t="s">
        <v>41</v>
      </c>
      <c r="E585" s="16" t="s">
        <v>34</v>
      </c>
      <c r="F585" s="16" t="s">
        <v>29</v>
      </c>
      <c r="G585" s="16">
        <v>61</v>
      </c>
      <c r="H585" s="16">
        <v>8697</v>
      </c>
      <c r="I585" s="16">
        <v>258.39999999999998</v>
      </c>
      <c r="J585" s="19">
        <v>0.64900000000000002</v>
      </c>
      <c r="K585" s="16">
        <v>87.9</v>
      </c>
      <c r="L585" s="19">
        <v>0.89800000000000002</v>
      </c>
      <c r="M585" s="19">
        <v>2.7E-2</v>
      </c>
      <c r="N585" s="21">
        <v>75604.039999999994</v>
      </c>
      <c r="O585" s="21">
        <v>51968.63</v>
      </c>
      <c r="P585" s="26">
        <v>23635.41</v>
      </c>
    </row>
    <row r="586" spans="1:16" x14ac:dyDescent="0.3">
      <c r="A586" s="25">
        <v>585</v>
      </c>
      <c r="B586" s="16" t="s">
        <v>49</v>
      </c>
      <c r="C586" s="16">
        <v>2024</v>
      </c>
      <c r="D586" s="16" t="s">
        <v>41</v>
      </c>
      <c r="E586" s="16" t="s">
        <v>35</v>
      </c>
      <c r="F586" s="16" t="s">
        <v>33</v>
      </c>
      <c r="G586" s="16">
        <v>36</v>
      </c>
      <c r="H586" s="16">
        <v>4224</v>
      </c>
      <c r="I586" s="16">
        <v>571.70000000000005</v>
      </c>
      <c r="J586" s="19">
        <v>0.85199999999999998</v>
      </c>
      <c r="K586" s="16">
        <v>82.2</v>
      </c>
      <c r="L586" s="19">
        <v>0.876</v>
      </c>
      <c r="M586" s="19">
        <v>3.5999999999999997E-2</v>
      </c>
      <c r="N586" s="21">
        <v>74279.64</v>
      </c>
      <c r="O586" s="21">
        <v>46695.72</v>
      </c>
      <c r="P586" s="26">
        <v>27583.919999999998</v>
      </c>
    </row>
    <row r="587" spans="1:16" x14ac:dyDescent="0.3">
      <c r="A587" s="25">
        <v>586</v>
      </c>
      <c r="B587" s="16" t="s">
        <v>49</v>
      </c>
      <c r="C587" s="16">
        <v>2024</v>
      </c>
      <c r="D587" s="16" t="s">
        <v>41</v>
      </c>
      <c r="E587" s="16" t="s">
        <v>30</v>
      </c>
      <c r="F587" s="16" t="s">
        <v>36</v>
      </c>
      <c r="G587" s="16">
        <v>37</v>
      </c>
      <c r="H587" s="16">
        <v>4211</v>
      </c>
      <c r="I587" s="16">
        <v>864.3</v>
      </c>
      <c r="J587" s="19">
        <v>0.60199999999999998</v>
      </c>
      <c r="K587" s="16">
        <v>87.1</v>
      </c>
      <c r="L587" s="19">
        <v>0.88400000000000001</v>
      </c>
      <c r="M587" s="19">
        <v>8.0000000000000002E-3</v>
      </c>
      <c r="N587" s="21">
        <v>69675.11</v>
      </c>
      <c r="O587" s="21">
        <v>48667.94</v>
      </c>
      <c r="P587" s="26">
        <v>21007.17</v>
      </c>
    </row>
    <row r="588" spans="1:16" x14ac:dyDescent="0.3">
      <c r="A588" s="25">
        <v>587</v>
      </c>
      <c r="B588" s="16" t="s">
        <v>49</v>
      </c>
      <c r="C588" s="16">
        <v>2024</v>
      </c>
      <c r="D588" s="16" t="s">
        <v>41</v>
      </c>
      <c r="E588" s="16" t="s">
        <v>34</v>
      </c>
      <c r="F588" s="16" t="s">
        <v>36</v>
      </c>
      <c r="G588" s="16">
        <v>43</v>
      </c>
      <c r="H588" s="16">
        <v>7222</v>
      </c>
      <c r="I588" s="16">
        <v>920.8</v>
      </c>
      <c r="J588" s="19">
        <v>0.68</v>
      </c>
      <c r="K588" s="16">
        <v>79.900000000000006</v>
      </c>
      <c r="L588" s="19">
        <v>0.95</v>
      </c>
      <c r="M588" s="19">
        <v>2.4E-2</v>
      </c>
      <c r="N588" s="21">
        <v>67801.06</v>
      </c>
      <c r="O588" s="21">
        <v>42515.56</v>
      </c>
      <c r="P588" s="26">
        <v>25285.5</v>
      </c>
    </row>
    <row r="589" spans="1:16" x14ac:dyDescent="0.3">
      <c r="A589" s="25">
        <v>588</v>
      </c>
      <c r="B589" s="16" t="s">
        <v>49</v>
      </c>
      <c r="C589" s="16">
        <v>2024</v>
      </c>
      <c r="D589" s="16" t="s">
        <v>41</v>
      </c>
      <c r="E589" s="16" t="s">
        <v>31</v>
      </c>
      <c r="F589" s="16" t="s">
        <v>36</v>
      </c>
      <c r="G589" s="16">
        <v>49</v>
      </c>
      <c r="H589" s="16">
        <v>6361</v>
      </c>
      <c r="I589" s="16">
        <v>892.6</v>
      </c>
      <c r="J589" s="19">
        <v>0.55100000000000005</v>
      </c>
      <c r="K589" s="16">
        <v>85.9</v>
      </c>
      <c r="L589" s="19">
        <v>0.86199999999999999</v>
      </c>
      <c r="M589" s="19">
        <v>0.03</v>
      </c>
      <c r="N589" s="21">
        <v>73892.52</v>
      </c>
      <c r="O589" s="21">
        <v>45841.120000000003</v>
      </c>
      <c r="P589" s="26">
        <v>28051.4</v>
      </c>
    </row>
    <row r="590" spans="1:16" x14ac:dyDescent="0.3">
      <c r="A590" s="25">
        <v>589</v>
      </c>
      <c r="B590" s="16" t="s">
        <v>49</v>
      </c>
      <c r="C590" s="16">
        <v>2024</v>
      </c>
      <c r="D590" s="16" t="s">
        <v>41</v>
      </c>
      <c r="E590" s="16" t="s">
        <v>32</v>
      </c>
      <c r="F590" s="16" t="s">
        <v>37</v>
      </c>
      <c r="G590" s="16">
        <v>71</v>
      </c>
      <c r="H590" s="16">
        <v>8371</v>
      </c>
      <c r="I590" s="16">
        <v>625.9</v>
      </c>
      <c r="J590" s="19">
        <v>0.71399999999999997</v>
      </c>
      <c r="K590" s="16">
        <v>87.3</v>
      </c>
      <c r="L590" s="19">
        <v>0.92200000000000004</v>
      </c>
      <c r="M590" s="19">
        <v>1.6E-2</v>
      </c>
      <c r="N590" s="21">
        <v>135234.93</v>
      </c>
      <c r="O590" s="21">
        <v>87498.81</v>
      </c>
      <c r="P590" s="26">
        <v>47736.12</v>
      </c>
    </row>
    <row r="591" spans="1:16" x14ac:dyDescent="0.3">
      <c r="A591" s="25">
        <v>590</v>
      </c>
      <c r="B591" s="16" t="s">
        <v>49</v>
      </c>
      <c r="C591" s="16">
        <v>2024</v>
      </c>
      <c r="D591" s="16" t="s">
        <v>41</v>
      </c>
      <c r="E591" s="16" t="s">
        <v>27</v>
      </c>
      <c r="F591" s="16" t="s">
        <v>37</v>
      </c>
      <c r="G591" s="16">
        <v>52</v>
      </c>
      <c r="H591" s="16">
        <v>8315</v>
      </c>
      <c r="I591" s="16">
        <v>611</v>
      </c>
      <c r="J591" s="19">
        <v>0.63</v>
      </c>
      <c r="K591" s="16">
        <v>84.1</v>
      </c>
      <c r="L591" s="19">
        <v>0.79200000000000004</v>
      </c>
      <c r="M591" s="19">
        <v>8.9999999999999993E-3</v>
      </c>
      <c r="N591" s="21">
        <v>97758.38</v>
      </c>
      <c r="O591" s="21">
        <v>68045.45</v>
      </c>
      <c r="P591" s="26">
        <v>29712.93</v>
      </c>
    </row>
    <row r="592" spans="1:16" x14ac:dyDescent="0.3">
      <c r="A592" s="25">
        <v>591</v>
      </c>
      <c r="B592" s="16" t="s">
        <v>49</v>
      </c>
      <c r="C592" s="16">
        <v>2024</v>
      </c>
      <c r="D592" s="16" t="s">
        <v>41</v>
      </c>
      <c r="E592" s="16" t="s">
        <v>34</v>
      </c>
      <c r="F592" s="16" t="s">
        <v>37</v>
      </c>
      <c r="G592" s="16">
        <v>29</v>
      </c>
      <c r="H592" s="16">
        <v>3780</v>
      </c>
      <c r="I592" s="16">
        <v>716.7</v>
      </c>
      <c r="J592" s="19">
        <v>0.72599999999999998</v>
      </c>
      <c r="K592" s="16">
        <v>83.2</v>
      </c>
      <c r="L592" s="19">
        <v>0.86399999999999999</v>
      </c>
      <c r="M592" s="19">
        <v>2.3E-2</v>
      </c>
      <c r="N592" s="21">
        <v>53384.81</v>
      </c>
      <c r="O592" s="21">
        <v>40732.82</v>
      </c>
      <c r="P592" s="26">
        <v>12651.99</v>
      </c>
    </row>
    <row r="593" spans="1:16" x14ac:dyDescent="0.3">
      <c r="A593" s="25">
        <v>592</v>
      </c>
      <c r="B593" s="16" t="s">
        <v>49</v>
      </c>
      <c r="C593" s="16">
        <v>2024</v>
      </c>
      <c r="D593" s="16" t="s">
        <v>41</v>
      </c>
      <c r="E593" s="16" t="s">
        <v>35</v>
      </c>
      <c r="F593" s="16" t="s">
        <v>37</v>
      </c>
      <c r="G593" s="16">
        <v>40</v>
      </c>
      <c r="H593" s="16">
        <v>5619</v>
      </c>
      <c r="I593" s="16">
        <v>629</v>
      </c>
      <c r="J593" s="19">
        <v>0.65700000000000003</v>
      </c>
      <c r="K593" s="16">
        <v>96</v>
      </c>
      <c r="L593" s="19">
        <v>0.89500000000000002</v>
      </c>
      <c r="M593" s="19">
        <v>1.2E-2</v>
      </c>
      <c r="N593" s="21">
        <v>63170.7</v>
      </c>
      <c r="O593" s="21">
        <v>48212.89</v>
      </c>
      <c r="P593" s="26">
        <v>14957.81</v>
      </c>
    </row>
    <row r="594" spans="1:16" x14ac:dyDescent="0.3">
      <c r="A594" s="25">
        <v>593</v>
      </c>
      <c r="B594" s="16" t="s">
        <v>50</v>
      </c>
      <c r="C594" s="16">
        <v>2024</v>
      </c>
      <c r="D594" s="16" t="s">
        <v>26</v>
      </c>
      <c r="E594" s="16" t="s">
        <v>32</v>
      </c>
      <c r="F594" s="16" t="s">
        <v>28</v>
      </c>
      <c r="G594" s="16">
        <v>29</v>
      </c>
      <c r="H594" s="16">
        <v>4249</v>
      </c>
      <c r="I594" s="16">
        <v>421.5</v>
      </c>
      <c r="J594" s="19">
        <v>0.83499999999999996</v>
      </c>
      <c r="K594" s="16">
        <v>86.1</v>
      </c>
      <c r="L594" s="19">
        <v>0.84499999999999997</v>
      </c>
      <c r="M594" s="19">
        <v>3.6999999999999998E-2</v>
      </c>
      <c r="N594" s="21">
        <v>43295.28</v>
      </c>
      <c r="O594" s="21">
        <v>28304.77</v>
      </c>
      <c r="P594" s="26">
        <v>14990.51</v>
      </c>
    </row>
    <row r="595" spans="1:16" x14ac:dyDescent="0.3">
      <c r="A595" s="25">
        <v>594</v>
      </c>
      <c r="B595" s="16" t="s">
        <v>50</v>
      </c>
      <c r="C595" s="16">
        <v>2024</v>
      </c>
      <c r="D595" s="16" t="s">
        <v>26</v>
      </c>
      <c r="E595" s="16" t="s">
        <v>27</v>
      </c>
      <c r="F595" s="16" t="s">
        <v>28</v>
      </c>
      <c r="G595" s="16">
        <v>40</v>
      </c>
      <c r="H595" s="16">
        <v>4555</v>
      </c>
      <c r="I595" s="16">
        <v>446.8</v>
      </c>
      <c r="J595" s="19">
        <v>0.82</v>
      </c>
      <c r="K595" s="16">
        <v>89.2</v>
      </c>
      <c r="L595" s="19">
        <v>0.92700000000000005</v>
      </c>
      <c r="M595" s="19">
        <v>2.5999999999999999E-2</v>
      </c>
      <c r="N595" s="21">
        <v>61503.92</v>
      </c>
      <c r="O595" s="21">
        <v>40380.28</v>
      </c>
      <c r="P595" s="26">
        <v>21123.64</v>
      </c>
    </row>
    <row r="596" spans="1:16" x14ac:dyDescent="0.3">
      <c r="A596" s="25">
        <v>595</v>
      </c>
      <c r="B596" s="16" t="s">
        <v>50</v>
      </c>
      <c r="C596" s="16">
        <v>2024</v>
      </c>
      <c r="D596" s="16" t="s">
        <v>26</v>
      </c>
      <c r="E596" s="16" t="s">
        <v>30</v>
      </c>
      <c r="F596" s="16" t="s">
        <v>29</v>
      </c>
      <c r="G596" s="16">
        <v>49</v>
      </c>
      <c r="H596" s="16">
        <v>6351</v>
      </c>
      <c r="I596" s="16">
        <v>275.3</v>
      </c>
      <c r="J596" s="19">
        <v>0.66700000000000004</v>
      </c>
      <c r="K596" s="16">
        <v>79.599999999999994</v>
      </c>
      <c r="L596" s="19">
        <v>0.97799999999999998</v>
      </c>
      <c r="M596" s="19">
        <v>3.5999999999999997E-2</v>
      </c>
      <c r="N596" s="21">
        <v>51935</v>
      </c>
      <c r="O596" s="21">
        <v>34338.300000000003</v>
      </c>
      <c r="P596" s="26">
        <v>17596.7</v>
      </c>
    </row>
    <row r="597" spans="1:16" x14ac:dyDescent="0.3">
      <c r="A597" s="25">
        <v>596</v>
      </c>
      <c r="B597" s="16" t="s">
        <v>50</v>
      </c>
      <c r="C597" s="16">
        <v>2024</v>
      </c>
      <c r="D597" s="16" t="s">
        <v>26</v>
      </c>
      <c r="E597" s="16" t="s">
        <v>34</v>
      </c>
      <c r="F597" s="16" t="s">
        <v>29</v>
      </c>
      <c r="G597" s="16">
        <v>76</v>
      </c>
      <c r="H597" s="16">
        <v>9540</v>
      </c>
      <c r="I597" s="16">
        <v>327.60000000000002</v>
      </c>
      <c r="J597" s="19">
        <v>0.58499999999999996</v>
      </c>
      <c r="K597" s="16">
        <v>78.2</v>
      </c>
      <c r="L597" s="19">
        <v>0.85099999999999998</v>
      </c>
      <c r="M597" s="19">
        <v>4.2999999999999997E-2</v>
      </c>
      <c r="N597" s="21">
        <v>105818.4</v>
      </c>
      <c r="O597" s="21">
        <v>80745.22</v>
      </c>
      <c r="P597" s="26">
        <v>25073.18</v>
      </c>
    </row>
    <row r="598" spans="1:16" x14ac:dyDescent="0.3">
      <c r="A598" s="25">
        <v>597</v>
      </c>
      <c r="B598" s="16" t="s">
        <v>50</v>
      </c>
      <c r="C598" s="16">
        <v>2024</v>
      </c>
      <c r="D598" s="16" t="s">
        <v>26</v>
      </c>
      <c r="E598" s="16" t="s">
        <v>35</v>
      </c>
      <c r="F598" s="16" t="s">
        <v>29</v>
      </c>
      <c r="G598" s="16">
        <v>39</v>
      </c>
      <c r="H598" s="16">
        <v>6315</v>
      </c>
      <c r="I598" s="16">
        <v>280.3</v>
      </c>
      <c r="J598" s="19">
        <v>0.56499999999999995</v>
      </c>
      <c r="K598" s="16">
        <v>76.400000000000006</v>
      </c>
      <c r="L598" s="19">
        <v>0.98399999999999999</v>
      </c>
      <c r="M598" s="19">
        <v>3.4000000000000002E-2</v>
      </c>
      <c r="N598" s="21">
        <v>41449.25</v>
      </c>
      <c r="O598" s="21">
        <v>28042.76</v>
      </c>
      <c r="P598" s="26">
        <v>13406.49</v>
      </c>
    </row>
    <row r="599" spans="1:16" x14ac:dyDescent="0.3">
      <c r="A599" s="25">
        <v>598</v>
      </c>
      <c r="B599" s="16" t="s">
        <v>50</v>
      </c>
      <c r="C599" s="16">
        <v>2024</v>
      </c>
      <c r="D599" s="16" t="s">
        <v>26</v>
      </c>
      <c r="E599" s="16" t="s">
        <v>32</v>
      </c>
      <c r="F599" s="16" t="s">
        <v>33</v>
      </c>
      <c r="G599" s="16">
        <v>38</v>
      </c>
      <c r="H599" s="16">
        <v>5099</v>
      </c>
      <c r="I599" s="16">
        <v>475.4</v>
      </c>
      <c r="J599" s="19">
        <v>0.745</v>
      </c>
      <c r="K599" s="16">
        <v>87.5</v>
      </c>
      <c r="L599" s="19">
        <v>0.90800000000000003</v>
      </c>
      <c r="M599" s="19">
        <v>2.4E-2</v>
      </c>
      <c r="N599" s="21">
        <v>47755.53</v>
      </c>
      <c r="O599" s="21">
        <v>37094.47</v>
      </c>
      <c r="P599" s="26">
        <v>10661.06</v>
      </c>
    </row>
    <row r="600" spans="1:16" x14ac:dyDescent="0.3">
      <c r="A600" s="25">
        <v>599</v>
      </c>
      <c r="B600" s="16" t="s">
        <v>50</v>
      </c>
      <c r="C600" s="16">
        <v>2024</v>
      </c>
      <c r="D600" s="16" t="s">
        <v>26</v>
      </c>
      <c r="E600" s="16" t="s">
        <v>34</v>
      </c>
      <c r="F600" s="16" t="s">
        <v>33</v>
      </c>
      <c r="G600" s="16">
        <v>31</v>
      </c>
      <c r="H600" s="16">
        <v>4254</v>
      </c>
      <c r="I600" s="16">
        <v>474.3</v>
      </c>
      <c r="J600" s="19">
        <v>0.73</v>
      </c>
      <c r="K600" s="16">
        <v>84.2</v>
      </c>
      <c r="L600" s="19">
        <v>0.874</v>
      </c>
      <c r="M600" s="19">
        <v>2.9000000000000001E-2</v>
      </c>
      <c r="N600" s="21">
        <v>45344.72</v>
      </c>
      <c r="O600" s="21">
        <v>30553.73</v>
      </c>
      <c r="P600" s="26">
        <v>14790.99</v>
      </c>
    </row>
    <row r="601" spans="1:16" x14ac:dyDescent="0.3">
      <c r="A601" s="25">
        <v>600</v>
      </c>
      <c r="B601" s="16" t="s">
        <v>50</v>
      </c>
      <c r="C601" s="16">
        <v>2024</v>
      </c>
      <c r="D601" s="16" t="s">
        <v>26</v>
      </c>
      <c r="E601" s="16" t="s">
        <v>32</v>
      </c>
      <c r="F601" s="16" t="s">
        <v>36</v>
      </c>
      <c r="G601" s="16">
        <v>24</v>
      </c>
      <c r="H601" s="16">
        <v>3647</v>
      </c>
      <c r="I601" s="16">
        <v>816.9</v>
      </c>
      <c r="J601" s="19">
        <v>0.68600000000000005</v>
      </c>
      <c r="K601" s="16">
        <v>93.7</v>
      </c>
      <c r="L601" s="19">
        <v>0.78100000000000003</v>
      </c>
      <c r="M601" s="19">
        <v>1.2999999999999999E-2</v>
      </c>
      <c r="N601" s="21">
        <v>22777.11</v>
      </c>
      <c r="O601" s="21">
        <v>16792.099999999999</v>
      </c>
      <c r="P601" s="26">
        <v>5985.01</v>
      </c>
    </row>
    <row r="602" spans="1:16" x14ac:dyDescent="0.3">
      <c r="A602" s="25">
        <v>601</v>
      </c>
      <c r="B602" s="16" t="s">
        <v>50</v>
      </c>
      <c r="C602" s="16">
        <v>2024</v>
      </c>
      <c r="D602" s="16" t="s">
        <v>26</v>
      </c>
      <c r="E602" s="16" t="s">
        <v>27</v>
      </c>
      <c r="F602" s="16" t="s">
        <v>36</v>
      </c>
      <c r="G602" s="16">
        <v>37</v>
      </c>
      <c r="H602" s="16">
        <v>5590</v>
      </c>
      <c r="I602" s="16">
        <v>955.6</v>
      </c>
      <c r="J602" s="19">
        <v>0.80700000000000005</v>
      </c>
      <c r="K602" s="16">
        <v>81.8</v>
      </c>
      <c r="L602" s="19">
        <v>0.85099999999999998</v>
      </c>
      <c r="M602" s="19">
        <v>5.0000000000000001E-3</v>
      </c>
      <c r="N602" s="21">
        <v>46686.1</v>
      </c>
      <c r="O602" s="21">
        <v>30542.43</v>
      </c>
      <c r="P602" s="26">
        <v>16143.67</v>
      </c>
    </row>
    <row r="603" spans="1:16" x14ac:dyDescent="0.3">
      <c r="A603" s="25">
        <v>602</v>
      </c>
      <c r="B603" s="16" t="s">
        <v>50</v>
      </c>
      <c r="C603" s="16">
        <v>2024</v>
      </c>
      <c r="D603" s="16" t="s">
        <v>26</v>
      </c>
      <c r="E603" s="16" t="s">
        <v>34</v>
      </c>
      <c r="F603" s="16" t="s">
        <v>36</v>
      </c>
      <c r="G603" s="16">
        <v>50</v>
      </c>
      <c r="H603" s="16">
        <v>7083</v>
      </c>
      <c r="I603" s="16">
        <v>983.9</v>
      </c>
      <c r="J603" s="19">
        <v>0.61699999999999999</v>
      </c>
      <c r="K603" s="16">
        <v>83.1</v>
      </c>
      <c r="L603" s="19">
        <v>0.88500000000000001</v>
      </c>
      <c r="M603" s="19">
        <v>3.2000000000000001E-2</v>
      </c>
      <c r="N603" s="21">
        <v>45357.03</v>
      </c>
      <c r="O603" s="21">
        <v>32365.01</v>
      </c>
      <c r="P603" s="26">
        <v>12992.02</v>
      </c>
    </row>
    <row r="604" spans="1:16" x14ac:dyDescent="0.3">
      <c r="A604" s="25">
        <v>603</v>
      </c>
      <c r="B604" s="16" t="s">
        <v>50</v>
      </c>
      <c r="C604" s="16">
        <v>2024</v>
      </c>
      <c r="D604" s="16" t="s">
        <v>26</v>
      </c>
      <c r="E604" s="16" t="s">
        <v>31</v>
      </c>
      <c r="F604" s="16" t="s">
        <v>36</v>
      </c>
      <c r="G604" s="16">
        <v>25</v>
      </c>
      <c r="H604" s="16">
        <v>3671</v>
      </c>
      <c r="I604" s="16">
        <v>968.1</v>
      </c>
      <c r="J604" s="19">
        <v>0.69799999999999995</v>
      </c>
      <c r="K604" s="16">
        <v>83</v>
      </c>
      <c r="L604" s="19">
        <v>0.84199999999999997</v>
      </c>
      <c r="M604" s="19">
        <v>4.3999999999999997E-2</v>
      </c>
      <c r="N604" s="21">
        <v>37294.71</v>
      </c>
      <c r="O604" s="21">
        <v>24796.29</v>
      </c>
      <c r="P604" s="26">
        <v>12498.42</v>
      </c>
    </row>
    <row r="605" spans="1:16" x14ac:dyDescent="0.3">
      <c r="A605" s="25">
        <v>604</v>
      </c>
      <c r="B605" s="16" t="s">
        <v>50</v>
      </c>
      <c r="C605" s="16">
        <v>2024</v>
      </c>
      <c r="D605" s="16" t="s">
        <v>26</v>
      </c>
      <c r="E605" s="16" t="s">
        <v>35</v>
      </c>
      <c r="F605" s="16" t="s">
        <v>36</v>
      </c>
      <c r="G605" s="16">
        <v>34</v>
      </c>
      <c r="H605" s="16">
        <v>4422</v>
      </c>
      <c r="I605" s="16">
        <v>826.7</v>
      </c>
      <c r="J605" s="19">
        <v>0.71599999999999997</v>
      </c>
      <c r="K605" s="16">
        <v>78.599999999999994</v>
      </c>
      <c r="L605" s="19">
        <v>0.82299999999999995</v>
      </c>
      <c r="M605" s="19">
        <v>3.1E-2</v>
      </c>
      <c r="N605" s="21">
        <v>47041.98</v>
      </c>
      <c r="O605" s="21">
        <v>29167.86</v>
      </c>
      <c r="P605" s="26">
        <v>17874.12</v>
      </c>
    </row>
    <row r="606" spans="1:16" x14ac:dyDescent="0.3">
      <c r="A606" s="25">
        <v>605</v>
      </c>
      <c r="B606" s="16" t="s">
        <v>50</v>
      </c>
      <c r="C606" s="16">
        <v>2024</v>
      </c>
      <c r="D606" s="16" t="s">
        <v>26</v>
      </c>
      <c r="E606" s="16" t="s">
        <v>27</v>
      </c>
      <c r="F606" s="16" t="s">
        <v>37</v>
      </c>
      <c r="G606" s="16">
        <v>39</v>
      </c>
      <c r="H606" s="16">
        <v>5771</v>
      </c>
      <c r="I606" s="16">
        <v>680.9</v>
      </c>
      <c r="J606" s="19">
        <v>0.76</v>
      </c>
      <c r="K606" s="16">
        <v>79.599999999999994</v>
      </c>
      <c r="L606" s="19">
        <v>0.874</v>
      </c>
      <c r="M606" s="19">
        <v>3.1E-2</v>
      </c>
      <c r="N606" s="21">
        <v>51273.32</v>
      </c>
      <c r="O606" s="21">
        <v>35040.17</v>
      </c>
      <c r="P606" s="26">
        <v>16233.15</v>
      </c>
    </row>
    <row r="607" spans="1:16" x14ac:dyDescent="0.3">
      <c r="A607" s="25">
        <v>606</v>
      </c>
      <c r="B607" s="16" t="s">
        <v>50</v>
      </c>
      <c r="C607" s="16">
        <v>2024</v>
      </c>
      <c r="D607" s="16" t="s">
        <v>26</v>
      </c>
      <c r="E607" s="16" t="s">
        <v>30</v>
      </c>
      <c r="F607" s="16" t="s">
        <v>37</v>
      </c>
      <c r="G607" s="16">
        <v>17</v>
      </c>
      <c r="H607" s="16">
        <v>2464</v>
      </c>
      <c r="I607" s="16">
        <v>674.6</v>
      </c>
      <c r="J607" s="19">
        <v>0.63900000000000001</v>
      </c>
      <c r="K607" s="16">
        <v>73.599999999999994</v>
      </c>
      <c r="L607" s="19">
        <v>0.92900000000000005</v>
      </c>
      <c r="M607" s="19">
        <v>4.2999999999999997E-2</v>
      </c>
      <c r="N607" s="21">
        <v>18715.63</v>
      </c>
      <c r="O607" s="21">
        <v>12564.73</v>
      </c>
      <c r="P607" s="26">
        <v>6150.9</v>
      </c>
    </row>
    <row r="608" spans="1:16" x14ac:dyDescent="0.3">
      <c r="A608" s="25">
        <v>607</v>
      </c>
      <c r="B608" s="16" t="s">
        <v>50</v>
      </c>
      <c r="C608" s="16">
        <v>2024</v>
      </c>
      <c r="D608" s="16" t="s">
        <v>26</v>
      </c>
      <c r="E608" s="16" t="s">
        <v>35</v>
      </c>
      <c r="F608" s="16" t="s">
        <v>37</v>
      </c>
      <c r="G608" s="16">
        <v>36</v>
      </c>
      <c r="H608" s="16">
        <v>5331</v>
      </c>
      <c r="I608" s="16">
        <v>627.4</v>
      </c>
      <c r="J608" s="19">
        <v>0.77</v>
      </c>
      <c r="K608" s="16">
        <v>86.8</v>
      </c>
      <c r="L608" s="19">
        <v>0.86199999999999999</v>
      </c>
      <c r="M608" s="19">
        <v>2.3E-2</v>
      </c>
      <c r="N608" s="21">
        <v>29970.29</v>
      </c>
      <c r="O608" s="21">
        <v>20386.09</v>
      </c>
      <c r="P608" s="26">
        <v>9584.2000000000007</v>
      </c>
    </row>
    <row r="609" spans="1:16" x14ac:dyDescent="0.3">
      <c r="A609" s="25">
        <v>608</v>
      </c>
      <c r="B609" s="16" t="s">
        <v>50</v>
      </c>
      <c r="C609" s="16">
        <v>2024</v>
      </c>
      <c r="D609" s="16" t="s">
        <v>38</v>
      </c>
      <c r="E609" s="16" t="s">
        <v>30</v>
      </c>
      <c r="F609" s="16" t="s">
        <v>28</v>
      </c>
      <c r="G609" s="16">
        <v>24</v>
      </c>
      <c r="H609" s="16">
        <v>3223</v>
      </c>
      <c r="I609" s="16">
        <v>440.2</v>
      </c>
      <c r="J609" s="19">
        <v>0.81200000000000006</v>
      </c>
      <c r="K609" s="16">
        <v>74.5</v>
      </c>
      <c r="L609" s="19">
        <v>0.81699999999999995</v>
      </c>
      <c r="M609" s="19">
        <v>3.1E-2</v>
      </c>
      <c r="N609" s="21">
        <v>39548.19</v>
      </c>
      <c r="O609" s="21">
        <v>26013.27</v>
      </c>
      <c r="P609" s="26">
        <v>13534.92</v>
      </c>
    </row>
    <row r="610" spans="1:16" x14ac:dyDescent="0.3">
      <c r="A610" s="25">
        <v>609</v>
      </c>
      <c r="B610" s="16" t="s">
        <v>50</v>
      </c>
      <c r="C610" s="16">
        <v>2024</v>
      </c>
      <c r="D610" s="16" t="s">
        <v>38</v>
      </c>
      <c r="E610" s="16" t="s">
        <v>34</v>
      </c>
      <c r="F610" s="16" t="s">
        <v>28</v>
      </c>
      <c r="G610" s="16">
        <v>33</v>
      </c>
      <c r="H610" s="16">
        <v>4329</v>
      </c>
      <c r="I610" s="16">
        <v>329.9</v>
      </c>
      <c r="J610" s="19">
        <v>0.8</v>
      </c>
      <c r="K610" s="16">
        <v>82.6</v>
      </c>
      <c r="L610" s="19">
        <v>0.83399999999999996</v>
      </c>
      <c r="M610" s="19">
        <v>4.2000000000000003E-2</v>
      </c>
      <c r="N610" s="21">
        <v>43876.959999999999</v>
      </c>
      <c r="O610" s="21">
        <v>29855.97</v>
      </c>
      <c r="P610" s="26">
        <v>14020.99</v>
      </c>
    </row>
    <row r="611" spans="1:16" x14ac:dyDescent="0.3">
      <c r="A611" s="25">
        <v>610</v>
      </c>
      <c r="B611" s="16" t="s">
        <v>50</v>
      </c>
      <c r="C611" s="16">
        <v>2024</v>
      </c>
      <c r="D611" s="16" t="s">
        <v>38</v>
      </c>
      <c r="E611" s="16" t="s">
        <v>35</v>
      </c>
      <c r="F611" s="16" t="s">
        <v>28</v>
      </c>
      <c r="G611" s="16">
        <v>54</v>
      </c>
      <c r="H611" s="16">
        <v>5937</v>
      </c>
      <c r="I611" s="16">
        <v>446.3</v>
      </c>
      <c r="J611" s="19">
        <v>0.77200000000000002</v>
      </c>
      <c r="K611" s="16">
        <v>91.6</v>
      </c>
      <c r="L611" s="19">
        <v>0.86599999999999999</v>
      </c>
      <c r="M611" s="19">
        <v>2.1000000000000001E-2</v>
      </c>
      <c r="N611" s="21">
        <v>72528.210000000006</v>
      </c>
      <c r="O611" s="21">
        <v>45646.78</v>
      </c>
      <c r="P611" s="26">
        <v>26881.43</v>
      </c>
    </row>
    <row r="612" spans="1:16" x14ac:dyDescent="0.3">
      <c r="A612" s="25">
        <v>611</v>
      </c>
      <c r="B612" s="16" t="s">
        <v>50</v>
      </c>
      <c r="C612" s="16">
        <v>2024</v>
      </c>
      <c r="D612" s="16" t="s">
        <v>38</v>
      </c>
      <c r="E612" s="16" t="s">
        <v>34</v>
      </c>
      <c r="F612" s="16" t="s">
        <v>29</v>
      </c>
      <c r="G612" s="16">
        <v>45</v>
      </c>
      <c r="H612" s="16">
        <v>6018</v>
      </c>
      <c r="I612" s="16">
        <v>305.2</v>
      </c>
      <c r="J612" s="19">
        <v>0.50700000000000001</v>
      </c>
      <c r="K612" s="16">
        <v>71.900000000000006</v>
      </c>
      <c r="L612" s="19">
        <v>0.96199999999999997</v>
      </c>
      <c r="M612" s="19">
        <v>3.7999999999999999E-2</v>
      </c>
      <c r="N612" s="21">
        <v>41992.32</v>
      </c>
      <c r="O612" s="21">
        <v>31889.15</v>
      </c>
      <c r="P612" s="26">
        <v>10103.17</v>
      </c>
    </row>
    <row r="613" spans="1:16" x14ac:dyDescent="0.3">
      <c r="A613" s="25">
        <v>612</v>
      </c>
      <c r="B613" s="16" t="s">
        <v>50</v>
      </c>
      <c r="C613" s="16">
        <v>2024</v>
      </c>
      <c r="D613" s="16" t="s">
        <v>38</v>
      </c>
      <c r="E613" s="16" t="s">
        <v>32</v>
      </c>
      <c r="F613" s="16" t="s">
        <v>33</v>
      </c>
      <c r="G613" s="16">
        <v>55</v>
      </c>
      <c r="H613" s="16">
        <v>5716</v>
      </c>
      <c r="I613" s="16">
        <v>444.6</v>
      </c>
      <c r="J613" s="19">
        <v>0.72</v>
      </c>
      <c r="K613" s="16">
        <v>89.5</v>
      </c>
      <c r="L613" s="19">
        <v>0.88600000000000001</v>
      </c>
      <c r="M613" s="19">
        <v>5.7000000000000002E-2</v>
      </c>
      <c r="N613" s="21">
        <v>59847</v>
      </c>
      <c r="O613" s="21">
        <v>44736.33</v>
      </c>
      <c r="P613" s="26">
        <v>15110.67</v>
      </c>
    </row>
    <row r="614" spans="1:16" x14ac:dyDescent="0.3">
      <c r="A614" s="25">
        <v>613</v>
      </c>
      <c r="B614" s="16" t="s">
        <v>50</v>
      </c>
      <c r="C614" s="16">
        <v>2024</v>
      </c>
      <c r="D614" s="16" t="s">
        <v>38</v>
      </c>
      <c r="E614" s="16" t="s">
        <v>27</v>
      </c>
      <c r="F614" s="16" t="s">
        <v>33</v>
      </c>
      <c r="G614" s="16">
        <v>46</v>
      </c>
      <c r="H614" s="16">
        <v>5678</v>
      </c>
      <c r="I614" s="16">
        <v>518.29999999999995</v>
      </c>
      <c r="J614" s="19">
        <v>0.78</v>
      </c>
      <c r="K614" s="16">
        <v>80.900000000000006</v>
      </c>
      <c r="L614" s="19">
        <v>0.96</v>
      </c>
      <c r="M614" s="19">
        <v>3.5999999999999997E-2</v>
      </c>
      <c r="N614" s="21">
        <v>76133.33</v>
      </c>
      <c r="O614" s="21">
        <v>47500.22</v>
      </c>
      <c r="P614" s="26">
        <v>28633.11</v>
      </c>
    </row>
    <row r="615" spans="1:16" x14ac:dyDescent="0.3">
      <c r="A615" s="25">
        <v>614</v>
      </c>
      <c r="B615" s="16" t="s">
        <v>50</v>
      </c>
      <c r="C615" s="16">
        <v>2024</v>
      </c>
      <c r="D615" s="16" t="s">
        <v>38</v>
      </c>
      <c r="E615" s="16" t="s">
        <v>31</v>
      </c>
      <c r="F615" s="16" t="s">
        <v>33</v>
      </c>
      <c r="G615" s="16">
        <v>51</v>
      </c>
      <c r="H615" s="16">
        <v>5884</v>
      </c>
      <c r="I615" s="16">
        <v>522.6</v>
      </c>
      <c r="J615" s="19">
        <v>0.72499999999999998</v>
      </c>
      <c r="K615" s="16">
        <v>92.3</v>
      </c>
      <c r="L615" s="19">
        <v>0.82699999999999996</v>
      </c>
      <c r="M615" s="19">
        <v>3.6999999999999998E-2</v>
      </c>
      <c r="N615" s="21">
        <v>82369.22</v>
      </c>
      <c r="O615" s="21">
        <v>59127.85</v>
      </c>
      <c r="P615" s="26">
        <v>23241.37</v>
      </c>
    </row>
    <row r="616" spans="1:16" x14ac:dyDescent="0.3">
      <c r="A616" s="25">
        <v>615</v>
      </c>
      <c r="B616" s="16" t="s">
        <v>50</v>
      </c>
      <c r="C616" s="16">
        <v>2024</v>
      </c>
      <c r="D616" s="16" t="s">
        <v>38</v>
      </c>
      <c r="E616" s="16" t="s">
        <v>35</v>
      </c>
      <c r="F616" s="16" t="s">
        <v>33</v>
      </c>
      <c r="G616" s="16">
        <v>33</v>
      </c>
      <c r="H616" s="16">
        <v>4418</v>
      </c>
      <c r="I616" s="16">
        <v>485.8</v>
      </c>
      <c r="J616" s="19">
        <v>0.69799999999999995</v>
      </c>
      <c r="K616" s="16">
        <v>94.5</v>
      </c>
      <c r="L616" s="19">
        <v>0.73799999999999999</v>
      </c>
      <c r="M616" s="19">
        <v>3.3000000000000002E-2</v>
      </c>
      <c r="N616" s="21">
        <v>45474.48</v>
      </c>
      <c r="O616" s="21">
        <v>31090.63</v>
      </c>
      <c r="P616" s="26">
        <v>14383.85</v>
      </c>
    </row>
    <row r="617" spans="1:16" x14ac:dyDescent="0.3">
      <c r="A617" s="25">
        <v>616</v>
      </c>
      <c r="B617" s="16" t="s">
        <v>50</v>
      </c>
      <c r="C617" s="16">
        <v>2024</v>
      </c>
      <c r="D617" s="16" t="s">
        <v>38</v>
      </c>
      <c r="E617" s="16" t="s">
        <v>30</v>
      </c>
      <c r="F617" s="16" t="s">
        <v>36</v>
      </c>
      <c r="G617" s="16">
        <v>39</v>
      </c>
      <c r="H617" s="16">
        <v>5977</v>
      </c>
      <c r="I617" s="16">
        <v>944.8</v>
      </c>
      <c r="J617" s="19">
        <v>0.71699999999999997</v>
      </c>
      <c r="K617" s="16">
        <v>83.3</v>
      </c>
      <c r="L617" s="19">
        <v>0.90100000000000002</v>
      </c>
      <c r="M617" s="19">
        <v>3.2000000000000001E-2</v>
      </c>
      <c r="N617" s="21">
        <v>46625.57</v>
      </c>
      <c r="O617" s="21">
        <v>36139.96</v>
      </c>
      <c r="P617" s="26">
        <v>10485.61</v>
      </c>
    </row>
    <row r="618" spans="1:16" x14ac:dyDescent="0.3">
      <c r="A618" s="25">
        <v>617</v>
      </c>
      <c r="B618" s="16" t="s">
        <v>50</v>
      </c>
      <c r="C618" s="16">
        <v>2024</v>
      </c>
      <c r="D618" s="16" t="s">
        <v>38</v>
      </c>
      <c r="E618" s="16" t="s">
        <v>34</v>
      </c>
      <c r="F618" s="16" t="s">
        <v>36</v>
      </c>
      <c r="G618" s="16">
        <v>53</v>
      </c>
      <c r="H618" s="16">
        <v>7802</v>
      </c>
      <c r="I618" s="16">
        <v>961.6</v>
      </c>
      <c r="J618" s="19">
        <v>0.77500000000000002</v>
      </c>
      <c r="K618" s="16">
        <v>81.599999999999994</v>
      </c>
      <c r="L618" s="19">
        <v>0.84299999999999997</v>
      </c>
      <c r="M618" s="19">
        <v>0.04</v>
      </c>
      <c r="N618" s="21">
        <v>82368.72</v>
      </c>
      <c r="O618" s="21">
        <v>51600.12</v>
      </c>
      <c r="P618" s="26">
        <v>30768.6</v>
      </c>
    </row>
    <row r="619" spans="1:16" x14ac:dyDescent="0.3">
      <c r="A619" s="25">
        <v>618</v>
      </c>
      <c r="B619" s="16" t="s">
        <v>50</v>
      </c>
      <c r="C619" s="16">
        <v>2024</v>
      </c>
      <c r="D619" s="16" t="s">
        <v>39</v>
      </c>
      <c r="E619" s="16" t="s">
        <v>32</v>
      </c>
      <c r="F619" s="16" t="s">
        <v>28</v>
      </c>
      <c r="G619" s="16">
        <v>21</v>
      </c>
      <c r="H619" s="16">
        <v>2624</v>
      </c>
      <c r="I619" s="16">
        <v>435.6</v>
      </c>
      <c r="J619" s="19">
        <v>0.81499999999999995</v>
      </c>
      <c r="K619" s="16">
        <v>80.900000000000006</v>
      </c>
      <c r="L619" s="19">
        <v>0.92400000000000004</v>
      </c>
      <c r="M619" s="19">
        <v>4.2000000000000003E-2</v>
      </c>
      <c r="N619" s="21">
        <v>30068.11</v>
      </c>
      <c r="O619" s="21">
        <v>19633.63</v>
      </c>
      <c r="P619" s="26">
        <v>10434.48</v>
      </c>
    </row>
    <row r="620" spans="1:16" x14ac:dyDescent="0.3">
      <c r="A620" s="25">
        <v>619</v>
      </c>
      <c r="B620" s="16" t="s">
        <v>50</v>
      </c>
      <c r="C620" s="16">
        <v>2024</v>
      </c>
      <c r="D620" s="16" t="s">
        <v>39</v>
      </c>
      <c r="E620" s="16" t="s">
        <v>34</v>
      </c>
      <c r="F620" s="16" t="s">
        <v>28</v>
      </c>
      <c r="G620" s="16">
        <v>43</v>
      </c>
      <c r="H620" s="16">
        <v>6818</v>
      </c>
      <c r="I620" s="16">
        <v>447.4</v>
      </c>
      <c r="J620" s="19">
        <v>0.86399999999999999</v>
      </c>
      <c r="K620" s="16">
        <v>79.5</v>
      </c>
      <c r="L620" s="19">
        <v>0.88800000000000001</v>
      </c>
      <c r="M620" s="19">
        <v>4.2999999999999997E-2</v>
      </c>
      <c r="N620" s="21">
        <v>85946.14</v>
      </c>
      <c r="O620" s="21">
        <v>66226.19</v>
      </c>
      <c r="P620" s="26">
        <v>19719.95</v>
      </c>
    </row>
    <row r="621" spans="1:16" x14ac:dyDescent="0.3">
      <c r="A621" s="25">
        <v>620</v>
      </c>
      <c r="B621" s="16" t="s">
        <v>50</v>
      </c>
      <c r="C621" s="16">
        <v>2024</v>
      </c>
      <c r="D621" s="16" t="s">
        <v>39</v>
      </c>
      <c r="E621" s="16" t="s">
        <v>32</v>
      </c>
      <c r="F621" s="16" t="s">
        <v>29</v>
      </c>
      <c r="G621" s="16">
        <v>48</v>
      </c>
      <c r="H621" s="16">
        <v>7758</v>
      </c>
      <c r="I621" s="16">
        <v>294.7</v>
      </c>
      <c r="J621" s="19">
        <v>0.57099999999999995</v>
      </c>
      <c r="K621" s="16">
        <v>88.7</v>
      </c>
      <c r="L621" s="19">
        <v>0.91</v>
      </c>
      <c r="M621" s="19">
        <v>2.5000000000000001E-2</v>
      </c>
      <c r="N621" s="21">
        <v>69189.710000000006</v>
      </c>
      <c r="O621" s="21">
        <v>45081.96</v>
      </c>
      <c r="P621" s="26">
        <v>24107.75</v>
      </c>
    </row>
    <row r="622" spans="1:16" x14ac:dyDescent="0.3">
      <c r="A622" s="25">
        <v>621</v>
      </c>
      <c r="B622" s="16" t="s">
        <v>50</v>
      </c>
      <c r="C622" s="16">
        <v>2024</v>
      </c>
      <c r="D622" s="16" t="s">
        <v>39</v>
      </c>
      <c r="E622" s="16" t="s">
        <v>32</v>
      </c>
      <c r="F622" s="16" t="s">
        <v>33</v>
      </c>
      <c r="G622" s="16">
        <v>39</v>
      </c>
      <c r="H622" s="16">
        <v>5087</v>
      </c>
      <c r="I622" s="16">
        <v>521.9</v>
      </c>
      <c r="J622" s="19">
        <v>0.56899999999999995</v>
      </c>
      <c r="K622" s="16">
        <v>81.5</v>
      </c>
      <c r="L622" s="19">
        <v>0.93100000000000005</v>
      </c>
      <c r="M622" s="19">
        <v>4.4999999999999998E-2</v>
      </c>
      <c r="N622" s="21">
        <v>56824.85</v>
      </c>
      <c r="O622" s="21">
        <v>36259.71</v>
      </c>
      <c r="P622" s="26">
        <v>20565.14</v>
      </c>
    </row>
    <row r="623" spans="1:16" x14ac:dyDescent="0.3">
      <c r="A623" s="25">
        <v>622</v>
      </c>
      <c r="B623" s="16" t="s">
        <v>50</v>
      </c>
      <c r="C623" s="16">
        <v>2024</v>
      </c>
      <c r="D623" s="16" t="s">
        <v>39</v>
      </c>
      <c r="E623" s="16" t="s">
        <v>31</v>
      </c>
      <c r="F623" s="16" t="s">
        <v>33</v>
      </c>
      <c r="G623" s="16">
        <v>17</v>
      </c>
      <c r="H623" s="16">
        <v>2759</v>
      </c>
      <c r="I623" s="16">
        <v>459.8</v>
      </c>
      <c r="J623" s="19">
        <v>0.70399999999999996</v>
      </c>
      <c r="K623" s="16">
        <v>74.2</v>
      </c>
      <c r="L623" s="19">
        <v>0.82299999999999995</v>
      </c>
      <c r="M623" s="19">
        <v>4.7E-2</v>
      </c>
      <c r="N623" s="21">
        <v>24590.27</v>
      </c>
      <c r="O623" s="21">
        <v>17854.13</v>
      </c>
      <c r="P623" s="26">
        <v>6736.14</v>
      </c>
    </row>
    <row r="624" spans="1:16" x14ac:dyDescent="0.3">
      <c r="A624" s="25">
        <v>623</v>
      </c>
      <c r="B624" s="16" t="s">
        <v>50</v>
      </c>
      <c r="C624" s="16">
        <v>2024</v>
      </c>
      <c r="D624" s="16" t="s">
        <v>39</v>
      </c>
      <c r="E624" s="16" t="s">
        <v>35</v>
      </c>
      <c r="F624" s="16" t="s">
        <v>33</v>
      </c>
      <c r="G624" s="16">
        <v>44</v>
      </c>
      <c r="H624" s="16">
        <v>4822</v>
      </c>
      <c r="I624" s="16">
        <v>447.6</v>
      </c>
      <c r="J624" s="19">
        <v>0.751</v>
      </c>
      <c r="K624" s="16">
        <v>79.099999999999994</v>
      </c>
      <c r="L624" s="19">
        <v>0.94099999999999995</v>
      </c>
      <c r="M624" s="19">
        <v>3.2000000000000001E-2</v>
      </c>
      <c r="N624" s="21">
        <v>74827.44</v>
      </c>
      <c r="O624" s="21">
        <v>53453.48</v>
      </c>
      <c r="P624" s="26">
        <v>21373.96</v>
      </c>
    </row>
    <row r="625" spans="1:16" x14ac:dyDescent="0.3">
      <c r="A625" s="25">
        <v>624</v>
      </c>
      <c r="B625" s="16" t="s">
        <v>50</v>
      </c>
      <c r="C625" s="16">
        <v>2024</v>
      </c>
      <c r="D625" s="16" t="s">
        <v>39</v>
      </c>
      <c r="E625" s="16" t="s">
        <v>27</v>
      </c>
      <c r="F625" s="16" t="s">
        <v>36</v>
      </c>
      <c r="G625" s="16">
        <v>44</v>
      </c>
      <c r="H625" s="16">
        <v>6585</v>
      </c>
      <c r="I625" s="16">
        <v>905.4</v>
      </c>
      <c r="J625" s="19">
        <v>0.74199999999999999</v>
      </c>
      <c r="K625" s="16">
        <v>70.8</v>
      </c>
      <c r="L625" s="19">
        <v>0.90400000000000003</v>
      </c>
      <c r="M625" s="19">
        <v>4.9000000000000002E-2</v>
      </c>
      <c r="N625" s="21">
        <v>51072.43</v>
      </c>
      <c r="O625" s="21">
        <v>34769.78</v>
      </c>
      <c r="P625" s="26">
        <v>16302.65</v>
      </c>
    </row>
    <row r="626" spans="1:16" x14ac:dyDescent="0.3">
      <c r="A626" s="25">
        <v>625</v>
      </c>
      <c r="B626" s="16" t="s">
        <v>50</v>
      </c>
      <c r="C626" s="16">
        <v>2024</v>
      </c>
      <c r="D626" s="16" t="s">
        <v>39</v>
      </c>
      <c r="E626" s="16" t="s">
        <v>34</v>
      </c>
      <c r="F626" s="16" t="s">
        <v>36</v>
      </c>
      <c r="G626" s="16">
        <v>35</v>
      </c>
      <c r="H626" s="16">
        <v>3624</v>
      </c>
      <c r="I626" s="16">
        <v>914.9</v>
      </c>
      <c r="J626" s="19">
        <v>0.78700000000000003</v>
      </c>
      <c r="K626" s="16">
        <v>79</v>
      </c>
      <c r="L626" s="19">
        <v>0.80600000000000005</v>
      </c>
      <c r="M626" s="19">
        <v>3.4000000000000002E-2</v>
      </c>
      <c r="N626" s="21">
        <v>57813.65</v>
      </c>
      <c r="O626" s="21">
        <v>37954.080000000002</v>
      </c>
      <c r="P626" s="26">
        <v>19859.57</v>
      </c>
    </row>
    <row r="627" spans="1:16" x14ac:dyDescent="0.3">
      <c r="A627" s="25">
        <v>626</v>
      </c>
      <c r="B627" s="16" t="s">
        <v>50</v>
      </c>
      <c r="C627" s="16">
        <v>2024</v>
      </c>
      <c r="D627" s="16" t="s">
        <v>39</v>
      </c>
      <c r="E627" s="16" t="s">
        <v>30</v>
      </c>
      <c r="F627" s="16" t="s">
        <v>37</v>
      </c>
      <c r="G627" s="16">
        <v>33</v>
      </c>
      <c r="H627" s="16">
        <v>4368</v>
      </c>
      <c r="I627" s="16">
        <v>675.3</v>
      </c>
      <c r="J627" s="19">
        <v>0.60099999999999998</v>
      </c>
      <c r="K627" s="16">
        <v>77</v>
      </c>
      <c r="L627" s="19">
        <v>0.83399999999999996</v>
      </c>
      <c r="M627" s="19">
        <v>0.03</v>
      </c>
      <c r="N627" s="21">
        <v>52951.01</v>
      </c>
      <c r="O627" s="21">
        <v>35117.61</v>
      </c>
      <c r="P627" s="26">
        <v>17833.400000000001</v>
      </c>
    </row>
    <row r="628" spans="1:16" x14ac:dyDescent="0.3">
      <c r="A628" s="25">
        <v>627</v>
      </c>
      <c r="B628" s="16" t="s">
        <v>50</v>
      </c>
      <c r="C628" s="16">
        <v>2024</v>
      </c>
      <c r="D628" s="16" t="s">
        <v>39</v>
      </c>
      <c r="E628" s="16" t="s">
        <v>31</v>
      </c>
      <c r="F628" s="16" t="s">
        <v>37</v>
      </c>
      <c r="G628" s="16">
        <v>26</v>
      </c>
      <c r="H628" s="16">
        <v>3472</v>
      </c>
      <c r="I628" s="16">
        <v>684.9</v>
      </c>
      <c r="J628" s="19">
        <v>0.78900000000000003</v>
      </c>
      <c r="K628" s="16">
        <v>82.3</v>
      </c>
      <c r="L628" s="19">
        <v>0.92100000000000004</v>
      </c>
      <c r="M628" s="19">
        <v>4.1000000000000002E-2</v>
      </c>
      <c r="N628" s="21">
        <v>36693.519999999997</v>
      </c>
      <c r="O628" s="21">
        <v>25342.29</v>
      </c>
      <c r="P628" s="26">
        <v>11351.23</v>
      </c>
    </row>
    <row r="629" spans="1:16" x14ac:dyDescent="0.3">
      <c r="A629" s="25">
        <v>628</v>
      </c>
      <c r="B629" s="16" t="s">
        <v>50</v>
      </c>
      <c r="C629" s="16">
        <v>2024</v>
      </c>
      <c r="D629" s="16" t="s">
        <v>39</v>
      </c>
      <c r="E629" s="16" t="s">
        <v>35</v>
      </c>
      <c r="F629" s="16" t="s">
        <v>37</v>
      </c>
      <c r="G629" s="16">
        <v>50</v>
      </c>
      <c r="H629" s="16">
        <v>6137</v>
      </c>
      <c r="I629" s="16">
        <v>678.7</v>
      </c>
      <c r="J629" s="19">
        <v>0.67300000000000004</v>
      </c>
      <c r="K629" s="16">
        <v>80.2</v>
      </c>
      <c r="L629" s="19">
        <v>0.88300000000000001</v>
      </c>
      <c r="M629" s="19">
        <v>2.9000000000000001E-2</v>
      </c>
      <c r="N629" s="21">
        <v>74150.070000000007</v>
      </c>
      <c r="O629" s="21">
        <v>55506.27</v>
      </c>
      <c r="P629" s="26">
        <v>18643.8</v>
      </c>
    </row>
    <row r="630" spans="1:16" x14ac:dyDescent="0.3">
      <c r="A630" s="25">
        <v>629</v>
      </c>
      <c r="B630" s="16" t="s">
        <v>50</v>
      </c>
      <c r="C630" s="16">
        <v>2024</v>
      </c>
      <c r="D630" s="16" t="s">
        <v>40</v>
      </c>
      <c r="E630" s="16" t="s">
        <v>32</v>
      </c>
      <c r="F630" s="16" t="s">
        <v>28</v>
      </c>
      <c r="G630" s="16">
        <v>38</v>
      </c>
      <c r="H630" s="16">
        <v>4239</v>
      </c>
      <c r="I630" s="16">
        <v>345</v>
      </c>
      <c r="J630" s="19">
        <v>0.79100000000000004</v>
      </c>
      <c r="K630" s="16">
        <v>80.8</v>
      </c>
      <c r="L630" s="19">
        <v>0.90600000000000003</v>
      </c>
      <c r="M630" s="19">
        <v>8.0000000000000002E-3</v>
      </c>
      <c r="N630" s="21">
        <v>55828.15</v>
      </c>
      <c r="O630" s="21">
        <v>40910.07</v>
      </c>
      <c r="P630" s="26">
        <v>14918.08</v>
      </c>
    </row>
    <row r="631" spans="1:16" x14ac:dyDescent="0.3">
      <c r="A631" s="25">
        <v>630</v>
      </c>
      <c r="B631" s="16" t="s">
        <v>50</v>
      </c>
      <c r="C631" s="16">
        <v>2024</v>
      </c>
      <c r="D631" s="16" t="s">
        <v>40</v>
      </c>
      <c r="E631" s="16" t="s">
        <v>30</v>
      </c>
      <c r="F631" s="16" t="s">
        <v>28</v>
      </c>
      <c r="G631" s="16">
        <v>50</v>
      </c>
      <c r="H631" s="16">
        <v>7068</v>
      </c>
      <c r="I631" s="16">
        <v>457.4</v>
      </c>
      <c r="J631" s="19">
        <v>0.82699999999999996</v>
      </c>
      <c r="K631" s="16">
        <v>83.2</v>
      </c>
      <c r="L631" s="19">
        <v>0.86099999999999999</v>
      </c>
      <c r="M631" s="19">
        <v>1.6E-2</v>
      </c>
      <c r="N631" s="21">
        <v>71074.789999999994</v>
      </c>
      <c r="O631" s="21">
        <v>53281.11</v>
      </c>
      <c r="P631" s="26">
        <v>17793.68</v>
      </c>
    </row>
    <row r="632" spans="1:16" x14ac:dyDescent="0.3">
      <c r="A632" s="25">
        <v>631</v>
      </c>
      <c r="B632" s="16" t="s">
        <v>50</v>
      </c>
      <c r="C632" s="16">
        <v>2024</v>
      </c>
      <c r="D632" s="16" t="s">
        <v>40</v>
      </c>
      <c r="E632" s="16" t="s">
        <v>35</v>
      </c>
      <c r="F632" s="16" t="s">
        <v>28</v>
      </c>
      <c r="G632" s="16">
        <v>45</v>
      </c>
      <c r="H632" s="16">
        <v>6376</v>
      </c>
      <c r="I632" s="16">
        <v>399.4</v>
      </c>
      <c r="J632" s="19">
        <v>0.72399999999999998</v>
      </c>
      <c r="K632" s="16">
        <v>74.2</v>
      </c>
      <c r="L632" s="19">
        <v>0.92800000000000005</v>
      </c>
      <c r="M632" s="19">
        <v>1.7999999999999999E-2</v>
      </c>
      <c r="N632" s="21">
        <v>56854.99</v>
      </c>
      <c r="O632" s="21">
        <v>35253.83</v>
      </c>
      <c r="P632" s="26">
        <v>21601.16</v>
      </c>
    </row>
    <row r="633" spans="1:16" x14ac:dyDescent="0.3">
      <c r="A633" s="25">
        <v>632</v>
      </c>
      <c r="B633" s="16" t="s">
        <v>50</v>
      </c>
      <c r="C633" s="16">
        <v>2024</v>
      </c>
      <c r="D633" s="16" t="s">
        <v>40</v>
      </c>
      <c r="E633" s="16" t="s">
        <v>32</v>
      </c>
      <c r="F633" s="16" t="s">
        <v>29</v>
      </c>
      <c r="G633" s="16">
        <v>41</v>
      </c>
      <c r="H633" s="16">
        <v>6040</v>
      </c>
      <c r="I633" s="16">
        <v>320.8</v>
      </c>
      <c r="J633" s="19">
        <v>0.58499999999999996</v>
      </c>
      <c r="K633" s="16">
        <v>85</v>
      </c>
      <c r="L633" s="19">
        <v>0.83199999999999996</v>
      </c>
      <c r="M633" s="19">
        <v>3.5999999999999997E-2</v>
      </c>
      <c r="N633" s="21">
        <v>43943.98</v>
      </c>
      <c r="O633" s="21">
        <v>33966.370000000003</v>
      </c>
      <c r="P633" s="26">
        <v>9977.61</v>
      </c>
    </row>
    <row r="634" spans="1:16" x14ac:dyDescent="0.3">
      <c r="A634" s="25">
        <v>633</v>
      </c>
      <c r="B634" s="16" t="s">
        <v>50</v>
      </c>
      <c r="C634" s="16">
        <v>2024</v>
      </c>
      <c r="D634" s="16" t="s">
        <v>40</v>
      </c>
      <c r="E634" s="16" t="s">
        <v>27</v>
      </c>
      <c r="F634" s="16" t="s">
        <v>29</v>
      </c>
      <c r="G634" s="16">
        <v>62</v>
      </c>
      <c r="H634" s="16">
        <v>8472</v>
      </c>
      <c r="I634" s="16">
        <v>211.2</v>
      </c>
      <c r="J634" s="19">
        <v>0.56599999999999995</v>
      </c>
      <c r="K634" s="16">
        <v>78.8</v>
      </c>
      <c r="L634" s="19">
        <v>0.875</v>
      </c>
      <c r="M634" s="19">
        <v>1.2999999999999999E-2</v>
      </c>
      <c r="N634" s="21">
        <v>73561.039999999994</v>
      </c>
      <c r="O634" s="21">
        <v>50834.95</v>
      </c>
      <c r="P634" s="26">
        <v>22726.09</v>
      </c>
    </row>
    <row r="635" spans="1:16" x14ac:dyDescent="0.3">
      <c r="A635" s="25">
        <v>634</v>
      </c>
      <c r="B635" s="16" t="s">
        <v>50</v>
      </c>
      <c r="C635" s="16">
        <v>2024</v>
      </c>
      <c r="D635" s="16" t="s">
        <v>40</v>
      </c>
      <c r="E635" s="16" t="s">
        <v>30</v>
      </c>
      <c r="F635" s="16" t="s">
        <v>29</v>
      </c>
      <c r="G635" s="16">
        <v>61</v>
      </c>
      <c r="H635" s="16">
        <v>10008</v>
      </c>
      <c r="I635" s="16">
        <v>357.4</v>
      </c>
      <c r="J635" s="19">
        <v>0.66700000000000004</v>
      </c>
      <c r="K635" s="16">
        <v>70.2</v>
      </c>
      <c r="L635" s="19">
        <v>0.96299999999999997</v>
      </c>
      <c r="M635" s="19">
        <v>0.03</v>
      </c>
      <c r="N635" s="21">
        <v>79575.850000000006</v>
      </c>
      <c r="O635" s="21">
        <v>56796.18</v>
      </c>
      <c r="P635" s="26">
        <v>22779.67</v>
      </c>
    </row>
    <row r="636" spans="1:16" x14ac:dyDescent="0.3">
      <c r="A636" s="25">
        <v>635</v>
      </c>
      <c r="B636" s="16" t="s">
        <v>50</v>
      </c>
      <c r="C636" s="16">
        <v>2024</v>
      </c>
      <c r="D636" s="16" t="s">
        <v>40</v>
      </c>
      <c r="E636" s="16" t="s">
        <v>34</v>
      </c>
      <c r="F636" s="16" t="s">
        <v>29</v>
      </c>
      <c r="G636" s="16">
        <v>53</v>
      </c>
      <c r="H636" s="16">
        <v>8380</v>
      </c>
      <c r="I636" s="16">
        <v>313.3</v>
      </c>
      <c r="J636" s="19">
        <v>0.5</v>
      </c>
      <c r="K636" s="16">
        <v>77.5</v>
      </c>
      <c r="L636" s="19">
        <v>0.85199999999999998</v>
      </c>
      <c r="M636" s="19">
        <v>3.6999999999999998E-2</v>
      </c>
      <c r="N636" s="21">
        <v>56101.440000000002</v>
      </c>
      <c r="O636" s="21">
        <v>42992.41</v>
      </c>
      <c r="P636" s="26">
        <v>13109.03</v>
      </c>
    </row>
    <row r="637" spans="1:16" x14ac:dyDescent="0.3">
      <c r="A637" s="25">
        <v>636</v>
      </c>
      <c r="B637" s="16" t="s">
        <v>50</v>
      </c>
      <c r="C637" s="16">
        <v>2024</v>
      </c>
      <c r="D637" s="16" t="s">
        <v>40</v>
      </c>
      <c r="E637" s="16" t="s">
        <v>35</v>
      </c>
      <c r="F637" s="16" t="s">
        <v>29</v>
      </c>
      <c r="G637" s="16">
        <v>19</v>
      </c>
      <c r="H637" s="16">
        <v>2122</v>
      </c>
      <c r="I637" s="16">
        <v>281.2</v>
      </c>
      <c r="J637" s="19">
        <v>0.66200000000000003</v>
      </c>
      <c r="K637" s="16">
        <v>87</v>
      </c>
      <c r="L637" s="19">
        <v>0.877</v>
      </c>
      <c r="M637" s="19">
        <v>0.03</v>
      </c>
      <c r="N637" s="21">
        <v>26214.62</v>
      </c>
      <c r="O637" s="21">
        <v>20017.14</v>
      </c>
      <c r="P637" s="26">
        <v>6197.48</v>
      </c>
    </row>
    <row r="638" spans="1:16" x14ac:dyDescent="0.3">
      <c r="A638" s="25">
        <v>637</v>
      </c>
      <c r="B638" s="16" t="s">
        <v>50</v>
      </c>
      <c r="C638" s="16">
        <v>2024</v>
      </c>
      <c r="D638" s="16" t="s">
        <v>40</v>
      </c>
      <c r="E638" s="16" t="s">
        <v>32</v>
      </c>
      <c r="F638" s="16" t="s">
        <v>33</v>
      </c>
      <c r="G638" s="16">
        <v>44</v>
      </c>
      <c r="H638" s="16">
        <v>6918</v>
      </c>
      <c r="I638" s="16">
        <v>513</v>
      </c>
      <c r="J638" s="19">
        <v>0.745</v>
      </c>
      <c r="K638" s="16">
        <v>84.4</v>
      </c>
      <c r="L638" s="19">
        <v>0.85699999999999998</v>
      </c>
      <c r="M638" s="19">
        <v>3.4000000000000002E-2</v>
      </c>
      <c r="N638" s="21">
        <v>49829.93</v>
      </c>
      <c r="O638" s="21">
        <v>33986.120000000003</v>
      </c>
      <c r="P638" s="26">
        <v>15843.81</v>
      </c>
    </row>
    <row r="639" spans="1:16" x14ac:dyDescent="0.3">
      <c r="A639" s="25">
        <v>638</v>
      </c>
      <c r="B639" s="16" t="s">
        <v>50</v>
      </c>
      <c r="C639" s="16">
        <v>2024</v>
      </c>
      <c r="D639" s="16" t="s">
        <v>40</v>
      </c>
      <c r="E639" s="16" t="s">
        <v>34</v>
      </c>
      <c r="F639" s="16" t="s">
        <v>33</v>
      </c>
      <c r="G639" s="16">
        <v>48</v>
      </c>
      <c r="H639" s="16">
        <v>6268</v>
      </c>
      <c r="I639" s="16">
        <v>460.5</v>
      </c>
      <c r="J639" s="19">
        <v>0.67800000000000005</v>
      </c>
      <c r="K639" s="16">
        <v>84.5</v>
      </c>
      <c r="L639" s="19">
        <v>0.92500000000000004</v>
      </c>
      <c r="M639" s="19">
        <v>2.3E-2</v>
      </c>
      <c r="N639" s="21">
        <v>66575.8</v>
      </c>
      <c r="O639" s="21">
        <v>43636.73</v>
      </c>
      <c r="P639" s="26">
        <v>22939.07</v>
      </c>
    </row>
    <row r="640" spans="1:16" x14ac:dyDescent="0.3">
      <c r="A640" s="25">
        <v>639</v>
      </c>
      <c r="B640" s="16" t="s">
        <v>50</v>
      </c>
      <c r="C640" s="16">
        <v>2024</v>
      </c>
      <c r="D640" s="16" t="s">
        <v>40</v>
      </c>
      <c r="E640" s="16" t="s">
        <v>32</v>
      </c>
      <c r="F640" s="16" t="s">
        <v>36</v>
      </c>
      <c r="G640" s="16">
        <v>46</v>
      </c>
      <c r="H640" s="16">
        <v>7685</v>
      </c>
      <c r="I640" s="16">
        <v>936.3</v>
      </c>
      <c r="J640" s="19">
        <v>0.72699999999999998</v>
      </c>
      <c r="K640" s="16">
        <v>84</v>
      </c>
      <c r="L640" s="19">
        <v>0.91400000000000003</v>
      </c>
      <c r="M640" s="19">
        <v>2.5000000000000001E-2</v>
      </c>
      <c r="N640" s="21">
        <v>67999.47</v>
      </c>
      <c r="O640" s="21">
        <v>48065.74</v>
      </c>
      <c r="P640" s="26">
        <v>19933.73</v>
      </c>
    </row>
    <row r="641" spans="1:16" x14ac:dyDescent="0.3">
      <c r="A641" s="25">
        <v>640</v>
      </c>
      <c r="B641" s="16" t="s">
        <v>50</v>
      </c>
      <c r="C641" s="16">
        <v>2024</v>
      </c>
      <c r="D641" s="16" t="s">
        <v>40</v>
      </c>
      <c r="E641" s="16" t="s">
        <v>31</v>
      </c>
      <c r="F641" s="16" t="s">
        <v>36</v>
      </c>
      <c r="G641" s="16">
        <v>69</v>
      </c>
      <c r="H641" s="16">
        <v>8850</v>
      </c>
      <c r="I641" s="16">
        <v>898.7</v>
      </c>
      <c r="J641" s="19">
        <v>0.70199999999999996</v>
      </c>
      <c r="K641" s="16">
        <v>72.900000000000006</v>
      </c>
      <c r="L641" s="19">
        <v>0.83399999999999996</v>
      </c>
      <c r="M641" s="19">
        <v>1.2999999999999999E-2</v>
      </c>
      <c r="N641" s="21">
        <v>104876.93</v>
      </c>
      <c r="O641" s="21">
        <v>75767.3</v>
      </c>
      <c r="P641" s="26">
        <v>29109.63</v>
      </c>
    </row>
    <row r="642" spans="1:16" x14ac:dyDescent="0.3">
      <c r="A642" s="25">
        <v>641</v>
      </c>
      <c r="B642" s="16" t="s">
        <v>50</v>
      </c>
      <c r="C642" s="16">
        <v>2024</v>
      </c>
      <c r="D642" s="16" t="s">
        <v>40</v>
      </c>
      <c r="E642" s="16" t="s">
        <v>35</v>
      </c>
      <c r="F642" s="16" t="s">
        <v>36</v>
      </c>
      <c r="G642" s="16">
        <v>57</v>
      </c>
      <c r="H642" s="16">
        <v>7772</v>
      </c>
      <c r="I642" s="16">
        <v>948.1</v>
      </c>
      <c r="J642" s="19">
        <v>0.70099999999999996</v>
      </c>
      <c r="K642" s="16">
        <v>84.3</v>
      </c>
      <c r="L642" s="19">
        <v>0.94099999999999995</v>
      </c>
      <c r="M642" s="19">
        <v>2.1999999999999999E-2</v>
      </c>
      <c r="N642" s="21">
        <v>73321.09</v>
      </c>
      <c r="O642" s="21">
        <v>48784.46</v>
      </c>
      <c r="P642" s="26">
        <v>24536.63</v>
      </c>
    </row>
    <row r="643" spans="1:16" x14ac:dyDescent="0.3">
      <c r="A643" s="25">
        <v>642</v>
      </c>
      <c r="B643" s="16" t="s">
        <v>50</v>
      </c>
      <c r="C643" s="16">
        <v>2024</v>
      </c>
      <c r="D643" s="16" t="s">
        <v>40</v>
      </c>
      <c r="E643" s="16" t="s">
        <v>32</v>
      </c>
      <c r="F643" s="16" t="s">
        <v>37</v>
      </c>
      <c r="G643" s="16">
        <v>28</v>
      </c>
      <c r="H643" s="16">
        <v>4232</v>
      </c>
      <c r="I643" s="16">
        <v>656.5</v>
      </c>
      <c r="J643" s="19">
        <v>0.65300000000000002</v>
      </c>
      <c r="K643" s="16">
        <v>85.5</v>
      </c>
      <c r="L643" s="19">
        <v>0.88800000000000001</v>
      </c>
      <c r="M643" s="19">
        <v>1.9E-2</v>
      </c>
      <c r="N643" s="21">
        <v>43331.040000000001</v>
      </c>
      <c r="O643" s="21">
        <v>31070.17</v>
      </c>
      <c r="P643" s="26">
        <v>12260.87</v>
      </c>
    </row>
    <row r="644" spans="1:16" x14ac:dyDescent="0.3">
      <c r="A644" s="25">
        <v>643</v>
      </c>
      <c r="B644" s="16" t="s">
        <v>50</v>
      </c>
      <c r="C644" s="16">
        <v>2024</v>
      </c>
      <c r="D644" s="16" t="s">
        <v>40</v>
      </c>
      <c r="E644" s="16" t="s">
        <v>27</v>
      </c>
      <c r="F644" s="16" t="s">
        <v>37</v>
      </c>
      <c r="G644" s="16">
        <v>40</v>
      </c>
      <c r="H644" s="16">
        <v>6425</v>
      </c>
      <c r="I644" s="16">
        <v>622</v>
      </c>
      <c r="J644" s="19">
        <v>0.626</v>
      </c>
      <c r="K644" s="16">
        <v>69.2</v>
      </c>
      <c r="L644" s="19">
        <v>0.84799999999999998</v>
      </c>
      <c r="M644" s="19">
        <v>4.2000000000000003E-2</v>
      </c>
      <c r="N644" s="21">
        <v>49628.61</v>
      </c>
      <c r="O644" s="21">
        <v>36475.870000000003</v>
      </c>
      <c r="P644" s="26">
        <v>13152.74</v>
      </c>
    </row>
    <row r="645" spans="1:16" x14ac:dyDescent="0.3">
      <c r="A645" s="25">
        <v>644</v>
      </c>
      <c r="B645" s="16" t="s">
        <v>50</v>
      </c>
      <c r="C645" s="16">
        <v>2024</v>
      </c>
      <c r="D645" s="16" t="s">
        <v>41</v>
      </c>
      <c r="E645" s="16" t="s">
        <v>32</v>
      </c>
      <c r="F645" s="16" t="s">
        <v>28</v>
      </c>
      <c r="G645" s="16">
        <v>32</v>
      </c>
      <c r="H645" s="16">
        <v>3281</v>
      </c>
      <c r="I645" s="16">
        <v>363</v>
      </c>
      <c r="J645" s="19">
        <v>0.79100000000000004</v>
      </c>
      <c r="K645" s="16">
        <v>76.2</v>
      </c>
      <c r="L645" s="19">
        <v>0.9</v>
      </c>
      <c r="M645" s="19">
        <v>5.0000000000000001E-3</v>
      </c>
      <c r="N645" s="21">
        <v>56875.27</v>
      </c>
      <c r="O645" s="21">
        <v>40305.64</v>
      </c>
      <c r="P645" s="26">
        <v>16569.63</v>
      </c>
    </row>
    <row r="646" spans="1:16" x14ac:dyDescent="0.3">
      <c r="A646" s="25">
        <v>645</v>
      </c>
      <c r="B646" s="16" t="s">
        <v>50</v>
      </c>
      <c r="C646" s="16">
        <v>2024</v>
      </c>
      <c r="D646" s="16" t="s">
        <v>41</v>
      </c>
      <c r="E646" s="16" t="s">
        <v>27</v>
      </c>
      <c r="F646" s="16" t="s">
        <v>28</v>
      </c>
      <c r="G646" s="16">
        <v>31</v>
      </c>
      <c r="H646" s="16">
        <v>4616</v>
      </c>
      <c r="I646" s="16">
        <v>450</v>
      </c>
      <c r="J646" s="19">
        <v>0.74399999999999999</v>
      </c>
      <c r="K646" s="16">
        <v>78.5</v>
      </c>
      <c r="L646" s="19">
        <v>0.89</v>
      </c>
      <c r="M646" s="19">
        <v>0.02</v>
      </c>
      <c r="N646" s="21">
        <v>53583.66</v>
      </c>
      <c r="O646" s="21">
        <v>34453.760000000002</v>
      </c>
      <c r="P646" s="26">
        <v>19129.900000000001</v>
      </c>
    </row>
    <row r="647" spans="1:16" x14ac:dyDescent="0.3">
      <c r="A647" s="25">
        <v>646</v>
      </c>
      <c r="B647" s="16" t="s">
        <v>50</v>
      </c>
      <c r="C647" s="16">
        <v>2024</v>
      </c>
      <c r="D647" s="16" t="s">
        <v>41</v>
      </c>
      <c r="E647" s="16" t="s">
        <v>30</v>
      </c>
      <c r="F647" s="16" t="s">
        <v>28</v>
      </c>
      <c r="G647" s="16">
        <v>27</v>
      </c>
      <c r="H647" s="16">
        <v>3810</v>
      </c>
      <c r="I647" s="16">
        <v>435.4</v>
      </c>
      <c r="J647" s="19">
        <v>0.70899999999999996</v>
      </c>
      <c r="K647" s="16">
        <v>90.6</v>
      </c>
      <c r="L647" s="19">
        <v>0.86499999999999999</v>
      </c>
      <c r="M647" s="19">
        <v>2E-3</v>
      </c>
      <c r="N647" s="21">
        <v>46279.14</v>
      </c>
      <c r="O647" s="21">
        <v>30343.94</v>
      </c>
      <c r="P647" s="26">
        <v>15935.2</v>
      </c>
    </row>
    <row r="648" spans="1:16" x14ac:dyDescent="0.3">
      <c r="A648" s="25">
        <v>647</v>
      </c>
      <c r="B648" s="16" t="s">
        <v>50</v>
      </c>
      <c r="C648" s="16">
        <v>2024</v>
      </c>
      <c r="D648" s="16" t="s">
        <v>41</v>
      </c>
      <c r="E648" s="16" t="s">
        <v>35</v>
      </c>
      <c r="F648" s="16" t="s">
        <v>28</v>
      </c>
      <c r="G648" s="16">
        <v>81</v>
      </c>
      <c r="H648" s="16">
        <v>11892</v>
      </c>
      <c r="I648" s="16">
        <v>423.7</v>
      </c>
      <c r="J648" s="19">
        <v>0.80900000000000005</v>
      </c>
      <c r="K648" s="16">
        <v>98.6</v>
      </c>
      <c r="L648" s="19">
        <v>0.83299999999999996</v>
      </c>
      <c r="M648" s="19">
        <v>0.01</v>
      </c>
      <c r="N648" s="21">
        <v>141770.48000000001</v>
      </c>
      <c r="O648" s="21">
        <v>93855.09</v>
      </c>
      <c r="P648" s="26">
        <v>47915.39</v>
      </c>
    </row>
    <row r="649" spans="1:16" x14ac:dyDescent="0.3">
      <c r="A649" s="25">
        <v>648</v>
      </c>
      <c r="B649" s="16" t="s">
        <v>50</v>
      </c>
      <c r="C649" s="16">
        <v>2024</v>
      </c>
      <c r="D649" s="16" t="s">
        <v>41</v>
      </c>
      <c r="E649" s="16" t="s">
        <v>27</v>
      </c>
      <c r="F649" s="16" t="s">
        <v>29</v>
      </c>
      <c r="G649" s="16">
        <v>33</v>
      </c>
      <c r="H649" s="16">
        <v>4597</v>
      </c>
      <c r="I649" s="16">
        <v>334</v>
      </c>
      <c r="J649" s="19">
        <v>0.68700000000000006</v>
      </c>
      <c r="K649" s="16">
        <v>87.9</v>
      </c>
      <c r="L649" s="19">
        <v>0.95699999999999996</v>
      </c>
      <c r="M649" s="19">
        <v>8.0000000000000002E-3</v>
      </c>
      <c r="N649" s="21">
        <v>55940.85</v>
      </c>
      <c r="O649" s="21">
        <v>42248.55</v>
      </c>
      <c r="P649" s="26">
        <v>13692.3</v>
      </c>
    </row>
    <row r="650" spans="1:16" x14ac:dyDescent="0.3">
      <c r="A650" s="25">
        <v>649</v>
      </c>
      <c r="B650" s="16" t="s">
        <v>50</v>
      </c>
      <c r="C650" s="16">
        <v>2024</v>
      </c>
      <c r="D650" s="16" t="s">
        <v>41</v>
      </c>
      <c r="E650" s="16" t="s">
        <v>34</v>
      </c>
      <c r="F650" s="16" t="s">
        <v>29</v>
      </c>
      <c r="G650" s="16">
        <v>44</v>
      </c>
      <c r="H650" s="16">
        <v>6914</v>
      </c>
      <c r="I650" s="16">
        <v>343.8</v>
      </c>
      <c r="J650" s="19">
        <v>0.60199999999999998</v>
      </c>
      <c r="K650" s="16">
        <v>80.400000000000006</v>
      </c>
      <c r="L650" s="19">
        <v>0.92500000000000004</v>
      </c>
      <c r="M650" s="19">
        <v>7.0000000000000001E-3</v>
      </c>
      <c r="N650" s="21">
        <v>76170.22</v>
      </c>
      <c r="O650" s="21">
        <v>52146.879999999997</v>
      </c>
      <c r="P650" s="26">
        <v>24023.34</v>
      </c>
    </row>
    <row r="651" spans="1:16" x14ac:dyDescent="0.3">
      <c r="A651" s="25">
        <v>650</v>
      </c>
      <c r="B651" s="16" t="s">
        <v>50</v>
      </c>
      <c r="C651" s="16">
        <v>2024</v>
      </c>
      <c r="D651" s="16" t="s">
        <v>41</v>
      </c>
      <c r="E651" s="16" t="s">
        <v>30</v>
      </c>
      <c r="F651" s="16" t="s">
        <v>33</v>
      </c>
      <c r="G651" s="16">
        <v>40</v>
      </c>
      <c r="H651" s="16">
        <v>4435</v>
      </c>
      <c r="I651" s="16">
        <v>487.5</v>
      </c>
      <c r="J651" s="19">
        <v>0.73699999999999999</v>
      </c>
      <c r="K651" s="16">
        <v>84.4</v>
      </c>
      <c r="L651" s="19">
        <v>0.91100000000000003</v>
      </c>
      <c r="M651" s="19">
        <v>1.7999999999999999E-2</v>
      </c>
      <c r="N651" s="21">
        <v>64914.13</v>
      </c>
      <c r="O651" s="21">
        <v>46471.91</v>
      </c>
      <c r="P651" s="26">
        <v>18442.22</v>
      </c>
    </row>
    <row r="652" spans="1:16" x14ac:dyDescent="0.3">
      <c r="A652" s="25">
        <v>651</v>
      </c>
      <c r="B652" s="16" t="s">
        <v>50</v>
      </c>
      <c r="C652" s="16">
        <v>2024</v>
      </c>
      <c r="D652" s="16" t="s">
        <v>41</v>
      </c>
      <c r="E652" s="16" t="s">
        <v>32</v>
      </c>
      <c r="F652" s="16" t="s">
        <v>37</v>
      </c>
      <c r="G652" s="16">
        <v>35</v>
      </c>
      <c r="H652" s="16">
        <v>4408</v>
      </c>
      <c r="I652" s="16">
        <v>643.5</v>
      </c>
      <c r="J652" s="19">
        <v>0.71199999999999997</v>
      </c>
      <c r="K652" s="16">
        <v>78.599999999999994</v>
      </c>
      <c r="L652" s="19">
        <v>0.876</v>
      </c>
      <c r="M652" s="19">
        <v>1.4E-2</v>
      </c>
      <c r="N652" s="21">
        <v>62311.75</v>
      </c>
      <c r="O652" s="21">
        <v>45326.74</v>
      </c>
      <c r="P652" s="26">
        <v>16985.009999999998</v>
      </c>
    </row>
    <row r="653" spans="1:16" x14ac:dyDescent="0.3">
      <c r="A653" s="25">
        <v>652</v>
      </c>
      <c r="B653" s="16" t="s">
        <v>50</v>
      </c>
      <c r="C653" s="16">
        <v>2024</v>
      </c>
      <c r="D653" s="16" t="s">
        <v>41</v>
      </c>
      <c r="E653" s="16" t="s">
        <v>30</v>
      </c>
      <c r="F653" s="16" t="s">
        <v>37</v>
      </c>
      <c r="G653" s="16">
        <v>51</v>
      </c>
      <c r="H653" s="16">
        <v>6686</v>
      </c>
      <c r="I653" s="16">
        <v>645.29999999999995</v>
      </c>
      <c r="J653" s="19">
        <v>0.69699999999999995</v>
      </c>
      <c r="K653" s="16">
        <v>78.2</v>
      </c>
      <c r="L653" s="19">
        <v>0.84799999999999998</v>
      </c>
      <c r="M653" s="19">
        <v>1.6E-2</v>
      </c>
      <c r="N653" s="21">
        <v>78642.880000000005</v>
      </c>
      <c r="O653" s="21">
        <v>55757.63</v>
      </c>
      <c r="P653" s="26">
        <v>22885.25</v>
      </c>
    </row>
    <row r="654" spans="1:16" x14ac:dyDescent="0.3">
      <c r="A654" s="25">
        <v>653</v>
      </c>
      <c r="B654" s="16" t="s">
        <v>50</v>
      </c>
      <c r="C654" s="16">
        <v>2024</v>
      </c>
      <c r="D654" s="16" t="s">
        <v>41</v>
      </c>
      <c r="E654" s="16" t="s">
        <v>31</v>
      </c>
      <c r="F654" s="16" t="s">
        <v>37</v>
      </c>
      <c r="G654" s="16">
        <v>56</v>
      </c>
      <c r="H654" s="16">
        <v>7090</v>
      </c>
      <c r="I654" s="16">
        <v>623.9</v>
      </c>
      <c r="J654" s="19">
        <v>0.65600000000000003</v>
      </c>
      <c r="K654" s="16">
        <v>81.8</v>
      </c>
      <c r="L654" s="19">
        <v>0.94799999999999995</v>
      </c>
      <c r="M654" s="19">
        <v>2.8000000000000001E-2</v>
      </c>
      <c r="N654" s="21">
        <v>118650.64</v>
      </c>
      <c r="O654" s="21">
        <v>82519.27</v>
      </c>
      <c r="P654" s="26">
        <v>36131.370000000003</v>
      </c>
    </row>
    <row r="655" spans="1:16" x14ac:dyDescent="0.3">
      <c r="A655" s="25">
        <v>654</v>
      </c>
      <c r="B655" s="16" t="s">
        <v>51</v>
      </c>
      <c r="C655" s="16">
        <v>2024</v>
      </c>
      <c r="D655" s="16" t="s">
        <v>26</v>
      </c>
      <c r="E655" s="16" t="s">
        <v>32</v>
      </c>
      <c r="F655" s="16" t="s">
        <v>28</v>
      </c>
      <c r="G655" s="16">
        <v>48</v>
      </c>
      <c r="H655" s="16">
        <v>6543</v>
      </c>
      <c r="I655" s="16">
        <v>437.3</v>
      </c>
      <c r="J655" s="19">
        <v>0.73699999999999999</v>
      </c>
      <c r="K655" s="16">
        <v>71.8</v>
      </c>
      <c r="L655" s="19">
        <v>0.90100000000000002</v>
      </c>
      <c r="M655" s="19">
        <v>2.5000000000000001E-2</v>
      </c>
      <c r="N655" s="21">
        <v>50937.94</v>
      </c>
      <c r="O655" s="21">
        <v>32612.880000000001</v>
      </c>
      <c r="P655" s="26">
        <v>18325.060000000001</v>
      </c>
    </row>
    <row r="656" spans="1:16" x14ac:dyDescent="0.3">
      <c r="A656" s="25">
        <v>655</v>
      </c>
      <c r="B656" s="16" t="s">
        <v>51</v>
      </c>
      <c r="C656" s="16">
        <v>2024</v>
      </c>
      <c r="D656" s="16" t="s">
        <v>26</v>
      </c>
      <c r="E656" s="16" t="s">
        <v>30</v>
      </c>
      <c r="F656" s="16" t="s">
        <v>28</v>
      </c>
      <c r="G656" s="16">
        <v>42</v>
      </c>
      <c r="H656" s="16">
        <v>4898</v>
      </c>
      <c r="I656" s="16">
        <v>408.5</v>
      </c>
      <c r="J656" s="19">
        <v>0.84899999999999998</v>
      </c>
      <c r="K656" s="16">
        <v>80.7</v>
      </c>
      <c r="L656" s="19">
        <v>0.96599999999999997</v>
      </c>
      <c r="M656" s="19">
        <v>3.5000000000000003E-2</v>
      </c>
      <c r="N656" s="21">
        <v>55896.83</v>
      </c>
      <c r="O656" s="21">
        <v>37752.86</v>
      </c>
      <c r="P656" s="26">
        <v>18143.97</v>
      </c>
    </row>
    <row r="657" spans="1:16" x14ac:dyDescent="0.3">
      <c r="A657" s="25">
        <v>656</v>
      </c>
      <c r="B657" s="16" t="s">
        <v>51</v>
      </c>
      <c r="C657" s="16">
        <v>2024</v>
      </c>
      <c r="D657" s="16" t="s">
        <v>26</v>
      </c>
      <c r="E657" s="16" t="s">
        <v>34</v>
      </c>
      <c r="F657" s="16" t="s">
        <v>28</v>
      </c>
      <c r="G657" s="16">
        <v>55</v>
      </c>
      <c r="H657" s="16">
        <v>9815</v>
      </c>
      <c r="I657" s="16">
        <v>460.3</v>
      </c>
      <c r="J657" s="19">
        <v>0.66800000000000004</v>
      </c>
      <c r="K657" s="16">
        <v>78.8</v>
      </c>
      <c r="L657" s="19">
        <v>0.96099999999999997</v>
      </c>
      <c r="M657" s="19">
        <v>3.5999999999999997E-2</v>
      </c>
      <c r="N657" s="21">
        <v>52720.68</v>
      </c>
      <c r="O657" s="21">
        <v>35462.089999999997</v>
      </c>
      <c r="P657" s="26">
        <v>17258.59</v>
      </c>
    </row>
    <row r="658" spans="1:16" x14ac:dyDescent="0.3">
      <c r="A658" s="25">
        <v>657</v>
      </c>
      <c r="B658" s="16" t="s">
        <v>51</v>
      </c>
      <c r="C658" s="16">
        <v>2024</v>
      </c>
      <c r="D658" s="16" t="s">
        <v>26</v>
      </c>
      <c r="E658" s="16" t="s">
        <v>30</v>
      </c>
      <c r="F658" s="16" t="s">
        <v>29</v>
      </c>
      <c r="G658" s="16">
        <v>55</v>
      </c>
      <c r="H658" s="16">
        <v>8158</v>
      </c>
      <c r="I658" s="16">
        <v>300.2</v>
      </c>
      <c r="J658" s="19">
        <v>0.61499999999999999</v>
      </c>
      <c r="K658" s="16">
        <v>82.9</v>
      </c>
      <c r="L658" s="19">
        <v>0.90600000000000003</v>
      </c>
      <c r="M658" s="19">
        <v>0.04</v>
      </c>
      <c r="N658" s="21">
        <v>55935.94</v>
      </c>
      <c r="O658" s="21">
        <v>42320.06</v>
      </c>
      <c r="P658" s="26">
        <v>13615.88</v>
      </c>
    </row>
    <row r="659" spans="1:16" x14ac:dyDescent="0.3">
      <c r="A659" s="25">
        <v>658</v>
      </c>
      <c r="B659" s="16" t="s">
        <v>51</v>
      </c>
      <c r="C659" s="16">
        <v>2024</v>
      </c>
      <c r="D659" s="16" t="s">
        <v>26</v>
      </c>
      <c r="E659" s="16" t="s">
        <v>31</v>
      </c>
      <c r="F659" s="16" t="s">
        <v>29</v>
      </c>
      <c r="G659" s="16">
        <v>47</v>
      </c>
      <c r="H659" s="16">
        <v>7423</v>
      </c>
      <c r="I659" s="16">
        <v>276.89999999999998</v>
      </c>
      <c r="J659" s="19">
        <v>0.64500000000000002</v>
      </c>
      <c r="K659" s="16">
        <v>78.7</v>
      </c>
      <c r="L659" s="19">
        <v>0.83599999999999997</v>
      </c>
      <c r="M659" s="19">
        <v>4.5999999999999999E-2</v>
      </c>
      <c r="N659" s="21">
        <v>53384.21</v>
      </c>
      <c r="O659" s="21">
        <v>34928.410000000003</v>
      </c>
      <c r="P659" s="26">
        <v>18455.8</v>
      </c>
    </row>
    <row r="660" spans="1:16" x14ac:dyDescent="0.3">
      <c r="A660" s="25">
        <v>659</v>
      </c>
      <c r="B660" s="16" t="s">
        <v>51</v>
      </c>
      <c r="C660" s="16">
        <v>2024</v>
      </c>
      <c r="D660" s="16" t="s">
        <v>26</v>
      </c>
      <c r="E660" s="16" t="s">
        <v>32</v>
      </c>
      <c r="F660" s="16" t="s">
        <v>33</v>
      </c>
      <c r="G660" s="16">
        <v>46</v>
      </c>
      <c r="H660" s="16">
        <v>8826</v>
      </c>
      <c r="I660" s="16">
        <v>492</v>
      </c>
      <c r="J660" s="19">
        <v>0.75600000000000001</v>
      </c>
      <c r="K660" s="16">
        <v>80.400000000000006</v>
      </c>
      <c r="L660" s="19">
        <v>1</v>
      </c>
      <c r="M660" s="19">
        <v>5.5E-2</v>
      </c>
      <c r="N660" s="21">
        <v>65598.48</v>
      </c>
      <c r="O660" s="21">
        <v>44347.06</v>
      </c>
      <c r="P660" s="26">
        <v>21251.42</v>
      </c>
    </row>
    <row r="661" spans="1:16" x14ac:dyDescent="0.3">
      <c r="A661" s="25">
        <v>660</v>
      </c>
      <c r="B661" s="16" t="s">
        <v>51</v>
      </c>
      <c r="C661" s="16">
        <v>2024</v>
      </c>
      <c r="D661" s="16" t="s">
        <v>26</v>
      </c>
      <c r="E661" s="16" t="s">
        <v>27</v>
      </c>
      <c r="F661" s="16" t="s">
        <v>33</v>
      </c>
      <c r="G661" s="16">
        <v>50</v>
      </c>
      <c r="H661" s="16">
        <v>6627</v>
      </c>
      <c r="I661" s="16">
        <v>435</v>
      </c>
      <c r="J661" s="19">
        <v>0.65100000000000002</v>
      </c>
      <c r="K661" s="16">
        <v>86.1</v>
      </c>
      <c r="L661" s="19">
        <v>0.87</v>
      </c>
      <c r="M661" s="19">
        <v>2.4E-2</v>
      </c>
      <c r="N661" s="21">
        <v>57040.62</v>
      </c>
      <c r="O661" s="21">
        <v>38282.49</v>
      </c>
      <c r="P661" s="26">
        <v>18758.13</v>
      </c>
    </row>
    <row r="662" spans="1:16" x14ac:dyDescent="0.3">
      <c r="A662" s="25">
        <v>661</v>
      </c>
      <c r="B662" s="16" t="s">
        <v>51</v>
      </c>
      <c r="C662" s="16">
        <v>2024</v>
      </c>
      <c r="D662" s="16" t="s">
        <v>26</v>
      </c>
      <c r="E662" s="16" t="s">
        <v>30</v>
      </c>
      <c r="F662" s="16" t="s">
        <v>33</v>
      </c>
      <c r="G662" s="16">
        <v>61</v>
      </c>
      <c r="H662" s="16">
        <v>10087</v>
      </c>
      <c r="I662" s="16">
        <v>437.1</v>
      </c>
      <c r="J662" s="19">
        <v>0.80700000000000005</v>
      </c>
      <c r="K662" s="16">
        <v>82.6</v>
      </c>
      <c r="L662" s="19">
        <v>0.88300000000000001</v>
      </c>
      <c r="M662" s="19">
        <v>3.3000000000000002E-2</v>
      </c>
      <c r="N662" s="21">
        <v>81695.87</v>
      </c>
      <c r="O662" s="21">
        <v>52482.01</v>
      </c>
      <c r="P662" s="26">
        <v>29213.86</v>
      </c>
    </row>
    <row r="663" spans="1:16" x14ac:dyDescent="0.3">
      <c r="A663" s="25">
        <v>662</v>
      </c>
      <c r="B663" s="16" t="s">
        <v>51</v>
      </c>
      <c r="C663" s="16">
        <v>2024</v>
      </c>
      <c r="D663" s="16" t="s">
        <v>26</v>
      </c>
      <c r="E663" s="16" t="s">
        <v>31</v>
      </c>
      <c r="F663" s="16" t="s">
        <v>33</v>
      </c>
      <c r="G663" s="16">
        <v>55</v>
      </c>
      <c r="H663" s="16">
        <v>7902</v>
      </c>
      <c r="I663" s="16">
        <v>508.3</v>
      </c>
      <c r="J663" s="19">
        <v>0.78700000000000003</v>
      </c>
      <c r="K663" s="16">
        <v>92</v>
      </c>
      <c r="L663" s="19">
        <v>0.98099999999999998</v>
      </c>
      <c r="M663" s="19">
        <v>5.1999999999999998E-2</v>
      </c>
      <c r="N663" s="21">
        <v>86550.38</v>
      </c>
      <c r="O663" s="21">
        <v>61329.3</v>
      </c>
      <c r="P663" s="26">
        <v>25221.08</v>
      </c>
    </row>
    <row r="664" spans="1:16" x14ac:dyDescent="0.3">
      <c r="A664" s="25">
        <v>663</v>
      </c>
      <c r="B664" s="16" t="s">
        <v>51</v>
      </c>
      <c r="C664" s="16">
        <v>2024</v>
      </c>
      <c r="D664" s="16" t="s">
        <v>26</v>
      </c>
      <c r="E664" s="16" t="s">
        <v>35</v>
      </c>
      <c r="F664" s="16" t="s">
        <v>33</v>
      </c>
      <c r="G664" s="16">
        <v>58</v>
      </c>
      <c r="H664" s="16">
        <v>9369</v>
      </c>
      <c r="I664" s="16">
        <v>467.6</v>
      </c>
      <c r="J664" s="19">
        <v>0.76400000000000001</v>
      </c>
      <c r="K664" s="16">
        <v>83.8</v>
      </c>
      <c r="L664" s="19">
        <v>0.97699999999999998</v>
      </c>
      <c r="M664" s="19">
        <v>2.9000000000000001E-2</v>
      </c>
      <c r="N664" s="21">
        <v>75254.05</v>
      </c>
      <c r="O664" s="21">
        <v>52000.95</v>
      </c>
      <c r="P664" s="26">
        <v>23253.1</v>
      </c>
    </row>
    <row r="665" spans="1:16" x14ac:dyDescent="0.3">
      <c r="A665" s="25">
        <v>664</v>
      </c>
      <c r="B665" s="16" t="s">
        <v>51</v>
      </c>
      <c r="C665" s="16">
        <v>2024</v>
      </c>
      <c r="D665" s="16" t="s">
        <v>26</v>
      </c>
      <c r="E665" s="16" t="s">
        <v>32</v>
      </c>
      <c r="F665" s="16" t="s">
        <v>36</v>
      </c>
      <c r="G665" s="16">
        <v>36</v>
      </c>
      <c r="H665" s="16">
        <v>5349</v>
      </c>
      <c r="I665" s="16">
        <v>945.5</v>
      </c>
      <c r="J665" s="19">
        <v>0.72399999999999998</v>
      </c>
      <c r="K665" s="16">
        <v>84.6</v>
      </c>
      <c r="L665" s="19">
        <v>0.83099999999999996</v>
      </c>
      <c r="M665" s="19">
        <v>2.7E-2</v>
      </c>
      <c r="N665" s="21">
        <v>46565.65</v>
      </c>
      <c r="O665" s="21">
        <v>29790.57</v>
      </c>
      <c r="P665" s="26">
        <v>16775.080000000002</v>
      </c>
    </row>
    <row r="666" spans="1:16" x14ac:dyDescent="0.3">
      <c r="A666" s="25">
        <v>665</v>
      </c>
      <c r="B666" s="16" t="s">
        <v>51</v>
      </c>
      <c r="C666" s="16">
        <v>2024</v>
      </c>
      <c r="D666" s="16" t="s">
        <v>26</v>
      </c>
      <c r="E666" s="16" t="s">
        <v>27</v>
      </c>
      <c r="F666" s="16" t="s">
        <v>36</v>
      </c>
      <c r="G666" s="16">
        <v>24</v>
      </c>
      <c r="H666" s="16">
        <v>3315</v>
      </c>
      <c r="I666" s="16">
        <v>920</v>
      </c>
      <c r="J666" s="19">
        <v>0.64100000000000001</v>
      </c>
      <c r="K666" s="16">
        <v>91</v>
      </c>
      <c r="L666" s="19">
        <v>0.80600000000000005</v>
      </c>
      <c r="M666" s="19">
        <v>0.05</v>
      </c>
      <c r="N666" s="21">
        <v>23853.82</v>
      </c>
      <c r="O666" s="21">
        <v>16554.02</v>
      </c>
      <c r="P666" s="26">
        <v>7299.8</v>
      </c>
    </row>
    <row r="667" spans="1:16" x14ac:dyDescent="0.3">
      <c r="A667" s="25">
        <v>666</v>
      </c>
      <c r="B667" s="16" t="s">
        <v>51</v>
      </c>
      <c r="C667" s="16">
        <v>2024</v>
      </c>
      <c r="D667" s="16" t="s">
        <v>26</v>
      </c>
      <c r="E667" s="16" t="s">
        <v>34</v>
      </c>
      <c r="F667" s="16" t="s">
        <v>36</v>
      </c>
      <c r="G667" s="16">
        <v>42</v>
      </c>
      <c r="H667" s="16">
        <v>6554</v>
      </c>
      <c r="I667" s="16">
        <v>914.1</v>
      </c>
      <c r="J667" s="19">
        <v>0.72699999999999998</v>
      </c>
      <c r="K667" s="16">
        <v>74.900000000000006</v>
      </c>
      <c r="L667" s="19">
        <v>0.78500000000000003</v>
      </c>
      <c r="M667" s="19">
        <v>4.3999999999999997E-2</v>
      </c>
      <c r="N667" s="21">
        <v>57689.84</v>
      </c>
      <c r="O667" s="21">
        <v>38746.19</v>
      </c>
      <c r="P667" s="26">
        <v>18943.650000000001</v>
      </c>
    </row>
    <row r="668" spans="1:16" x14ac:dyDescent="0.3">
      <c r="A668" s="25">
        <v>667</v>
      </c>
      <c r="B668" s="16" t="s">
        <v>51</v>
      </c>
      <c r="C668" s="16">
        <v>2024</v>
      </c>
      <c r="D668" s="16" t="s">
        <v>26</v>
      </c>
      <c r="E668" s="16" t="s">
        <v>31</v>
      </c>
      <c r="F668" s="16" t="s">
        <v>36</v>
      </c>
      <c r="G668" s="16">
        <v>49</v>
      </c>
      <c r="H668" s="16">
        <v>8210</v>
      </c>
      <c r="I668" s="16">
        <v>882</v>
      </c>
      <c r="J668" s="19">
        <v>0.74</v>
      </c>
      <c r="K668" s="16">
        <v>69.099999999999994</v>
      </c>
      <c r="L668" s="19">
        <v>0.90200000000000002</v>
      </c>
      <c r="M668" s="19">
        <v>4.9000000000000002E-2</v>
      </c>
      <c r="N668" s="21">
        <v>59517.59</v>
      </c>
      <c r="O668" s="21">
        <v>43200.480000000003</v>
      </c>
      <c r="P668" s="26">
        <v>16317.11</v>
      </c>
    </row>
    <row r="669" spans="1:16" x14ac:dyDescent="0.3">
      <c r="A669" s="25">
        <v>668</v>
      </c>
      <c r="B669" s="16" t="s">
        <v>51</v>
      </c>
      <c r="C669" s="16">
        <v>2024</v>
      </c>
      <c r="D669" s="16" t="s">
        <v>26</v>
      </c>
      <c r="E669" s="16" t="s">
        <v>35</v>
      </c>
      <c r="F669" s="16" t="s">
        <v>36</v>
      </c>
      <c r="G669" s="16">
        <v>52</v>
      </c>
      <c r="H669" s="16">
        <v>9243</v>
      </c>
      <c r="I669" s="16">
        <v>837.9</v>
      </c>
      <c r="J669" s="19">
        <v>0.74</v>
      </c>
      <c r="K669" s="16">
        <v>82.3</v>
      </c>
      <c r="L669" s="19">
        <v>0.78400000000000003</v>
      </c>
      <c r="M669" s="19">
        <v>0.03</v>
      </c>
      <c r="N669" s="21">
        <v>70892.960000000006</v>
      </c>
      <c r="O669" s="21">
        <v>52125.42</v>
      </c>
      <c r="P669" s="26">
        <v>18767.54</v>
      </c>
    </row>
    <row r="670" spans="1:16" x14ac:dyDescent="0.3">
      <c r="A670" s="25">
        <v>669</v>
      </c>
      <c r="B670" s="16" t="s">
        <v>51</v>
      </c>
      <c r="C670" s="16">
        <v>2024</v>
      </c>
      <c r="D670" s="16" t="s">
        <v>26</v>
      </c>
      <c r="E670" s="16" t="s">
        <v>32</v>
      </c>
      <c r="F670" s="16" t="s">
        <v>37</v>
      </c>
      <c r="G670" s="16">
        <v>62</v>
      </c>
      <c r="H670" s="16">
        <v>8290</v>
      </c>
      <c r="I670" s="16">
        <v>711.6</v>
      </c>
      <c r="J670" s="19">
        <v>0.76400000000000001</v>
      </c>
      <c r="K670" s="16">
        <v>78.7</v>
      </c>
      <c r="L670" s="19">
        <v>0.84399999999999997</v>
      </c>
      <c r="M670" s="19">
        <v>3.7999999999999999E-2</v>
      </c>
      <c r="N670" s="21">
        <v>95920.55</v>
      </c>
      <c r="O670" s="21">
        <v>73937.240000000005</v>
      </c>
      <c r="P670" s="26">
        <v>21983.31</v>
      </c>
    </row>
    <row r="671" spans="1:16" x14ac:dyDescent="0.3">
      <c r="A671" s="25">
        <v>670</v>
      </c>
      <c r="B671" s="16" t="s">
        <v>51</v>
      </c>
      <c r="C671" s="16">
        <v>2024</v>
      </c>
      <c r="D671" s="16" t="s">
        <v>26</v>
      </c>
      <c r="E671" s="16" t="s">
        <v>27</v>
      </c>
      <c r="F671" s="16" t="s">
        <v>37</v>
      </c>
      <c r="G671" s="16">
        <v>22</v>
      </c>
      <c r="H671" s="16">
        <v>3473</v>
      </c>
      <c r="I671" s="16">
        <v>636.1</v>
      </c>
      <c r="J671" s="19">
        <v>0.61399999999999999</v>
      </c>
      <c r="K671" s="16">
        <v>70.599999999999994</v>
      </c>
      <c r="L671" s="19">
        <v>0.82399999999999995</v>
      </c>
      <c r="M671" s="19">
        <v>3.5999999999999997E-2</v>
      </c>
      <c r="N671" s="21">
        <v>24505.23</v>
      </c>
      <c r="O671" s="21">
        <v>19026.689999999999</v>
      </c>
      <c r="P671" s="26">
        <v>5478.54</v>
      </c>
    </row>
    <row r="672" spans="1:16" x14ac:dyDescent="0.3">
      <c r="A672" s="25">
        <v>671</v>
      </c>
      <c r="B672" s="16" t="s">
        <v>51</v>
      </c>
      <c r="C672" s="16">
        <v>2024</v>
      </c>
      <c r="D672" s="16" t="s">
        <v>26</v>
      </c>
      <c r="E672" s="16" t="s">
        <v>34</v>
      </c>
      <c r="F672" s="16" t="s">
        <v>37</v>
      </c>
      <c r="G672" s="16">
        <v>45</v>
      </c>
      <c r="H672" s="16">
        <v>7380</v>
      </c>
      <c r="I672" s="16">
        <v>640.9</v>
      </c>
      <c r="J672" s="19">
        <v>0.78100000000000003</v>
      </c>
      <c r="K672" s="16">
        <v>72.7</v>
      </c>
      <c r="L672" s="19">
        <v>0.94099999999999995</v>
      </c>
      <c r="M672" s="19">
        <v>0.05</v>
      </c>
      <c r="N672" s="21">
        <v>45071.28</v>
      </c>
      <c r="O672" s="21">
        <v>31536.41</v>
      </c>
      <c r="P672" s="26">
        <v>13534.87</v>
      </c>
    </row>
    <row r="673" spans="1:16" x14ac:dyDescent="0.3">
      <c r="A673" s="25">
        <v>672</v>
      </c>
      <c r="B673" s="16" t="s">
        <v>51</v>
      </c>
      <c r="C673" s="16">
        <v>2024</v>
      </c>
      <c r="D673" s="16" t="s">
        <v>26</v>
      </c>
      <c r="E673" s="16" t="s">
        <v>31</v>
      </c>
      <c r="F673" s="16" t="s">
        <v>37</v>
      </c>
      <c r="G673" s="16">
        <v>31</v>
      </c>
      <c r="H673" s="16">
        <v>3781</v>
      </c>
      <c r="I673" s="16">
        <v>651.20000000000005</v>
      </c>
      <c r="J673" s="19">
        <v>0.67200000000000004</v>
      </c>
      <c r="K673" s="16">
        <v>80.5</v>
      </c>
      <c r="L673" s="19">
        <v>0.93799999999999994</v>
      </c>
      <c r="M673" s="19">
        <v>3.5000000000000003E-2</v>
      </c>
      <c r="N673" s="21">
        <v>34545.14</v>
      </c>
      <c r="O673" s="21">
        <v>24098.65</v>
      </c>
      <c r="P673" s="26">
        <v>10446.49</v>
      </c>
    </row>
    <row r="674" spans="1:16" x14ac:dyDescent="0.3">
      <c r="A674" s="25">
        <v>673</v>
      </c>
      <c r="B674" s="16" t="s">
        <v>51</v>
      </c>
      <c r="C674" s="16">
        <v>2024</v>
      </c>
      <c r="D674" s="16" t="s">
        <v>38</v>
      </c>
      <c r="E674" s="16" t="s">
        <v>30</v>
      </c>
      <c r="F674" s="16" t="s">
        <v>28</v>
      </c>
      <c r="G674" s="16">
        <v>16</v>
      </c>
      <c r="H674" s="16">
        <v>2096</v>
      </c>
      <c r="I674" s="16">
        <v>383.8</v>
      </c>
      <c r="J674" s="19">
        <v>0.86399999999999999</v>
      </c>
      <c r="K674" s="16">
        <v>83.1</v>
      </c>
      <c r="L674" s="19">
        <v>0.86599999999999999</v>
      </c>
      <c r="M674" s="19">
        <v>5.3999999999999999E-2</v>
      </c>
      <c r="N674" s="21">
        <v>25643.27</v>
      </c>
      <c r="O674" s="21">
        <v>19370.39</v>
      </c>
      <c r="P674" s="26">
        <v>6272.88</v>
      </c>
    </row>
    <row r="675" spans="1:16" x14ac:dyDescent="0.3">
      <c r="A675" s="25">
        <v>674</v>
      </c>
      <c r="B675" s="16" t="s">
        <v>51</v>
      </c>
      <c r="C675" s="16">
        <v>2024</v>
      </c>
      <c r="D675" s="16" t="s">
        <v>38</v>
      </c>
      <c r="E675" s="16" t="s">
        <v>34</v>
      </c>
      <c r="F675" s="16" t="s">
        <v>28</v>
      </c>
      <c r="G675" s="16">
        <v>38</v>
      </c>
      <c r="H675" s="16">
        <v>5358</v>
      </c>
      <c r="I675" s="16">
        <v>408.1</v>
      </c>
      <c r="J675" s="19">
        <v>0.68100000000000005</v>
      </c>
      <c r="K675" s="16">
        <v>83.6</v>
      </c>
      <c r="L675" s="19">
        <v>0.93500000000000005</v>
      </c>
      <c r="M675" s="19">
        <v>3.7999999999999999E-2</v>
      </c>
      <c r="N675" s="21">
        <v>49812.24</v>
      </c>
      <c r="O675" s="21">
        <v>35001.949999999997</v>
      </c>
      <c r="P675" s="26">
        <v>14810.29</v>
      </c>
    </row>
    <row r="676" spans="1:16" x14ac:dyDescent="0.3">
      <c r="A676" s="25">
        <v>675</v>
      </c>
      <c r="B676" s="16" t="s">
        <v>51</v>
      </c>
      <c r="C676" s="16">
        <v>2024</v>
      </c>
      <c r="D676" s="16" t="s">
        <v>38</v>
      </c>
      <c r="E676" s="16" t="s">
        <v>31</v>
      </c>
      <c r="F676" s="16" t="s">
        <v>28</v>
      </c>
      <c r="G676" s="16">
        <v>36</v>
      </c>
      <c r="H676" s="16">
        <v>5366</v>
      </c>
      <c r="I676" s="16">
        <v>449</v>
      </c>
      <c r="J676" s="19">
        <v>0.67400000000000004</v>
      </c>
      <c r="K676" s="16">
        <v>80.400000000000006</v>
      </c>
      <c r="L676" s="19">
        <v>0.92500000000000004</v>
      </c>
      <c r="M676" s="19">
        <v>3.5000000000000003E-2</v>
      </c>
      <c r="N676" s="21">
        <v>49592.47</v>
      </c>
      <c r="O676" s="21">
        <v>33863.599999999999</v>
      </c>
      <c r="P676" s="26">
        <v>15728.87</v>
      </c>
    </row>
    <row r="677" spans="1:16" x14ac:dyDescent="0.3">
      <c r="A677" s="25">
        <v>676</v>
      </c>
      <c r="B677" s="16" t="s">
        <v>51</v>
      </c>
      <c r="C677" s="16">
        <v>2024</v>
      </c>
      <c r="D677" s="16" t="s">
        <v>38</v>
      </c>
      <c r="E677" s="16" t="s">
        <v>35</v>
      </c>
      <c r="F677" s="16" t="s">
        <v>29</v>
      </c>
      <c r="G677" s="16">
        <v>37</v>
      </c>
      <c r="H677" s="16">
        <v>6524</v>
      </c>
      <c r="I677" s="16">
        <v>208.2</v>
      </c>
      <c r="J677" s="19">
        <v>0.66800000000000004</v>
      </c>
      <c r="K677" s="16">
        <v>85.1</v>
      </c>
      <c r="L677" s="19">
        <v>0.94699999999999995</v>
      </c>
      <c r="M677" s="19">
        <v>4.9000000000000002E-2</v>
      </c>
      <c r="N677" s="21">
        <v>53288.59</v>
      </c>
      <c r="O677" s="21">
        <v>34782.57</v>
      </c>
      <c r="P677" s="26">
        <v>18506.02</v>
      </c>
    </row>
    <row r="678" spans="1:16" x14ac:dyDescent="0.3">
      <c r="A678" s="25">
        <v>677</v>
      </c>
      <c r="B678" s="16" t="s">
        <v>51</v>
      </c>
      <c r="C678" s="16">
        <v>2024</v>
      </c>
      <c r="D678" s="16" t="s">
        <v>38</v>
      </c>
      <c r="E678" s="16" t="s">
        <v>34</v>
      </c>
      <c r="F678" s="16" t="s">
        <v>33</v>
      </c>
      <c r="G678" s="16">
        <v>32</v>
      </c>
      <c r="H678" s="16">
        <v>4497</v>
      </c>
      <c r="I678" s="16">
        <v>490.9</v>
      </c>
      <c r="J678" s="19">
        <v>0.73699999999999999</v>
      </c>
      <c r="K678" s="16">
        <v>88.7</v>
      </c>
      <c r="L678" s="19">
        <v>0.85499999999999998</v>
      </c>
      <c r="M678" s="19">
        <v>2.9000000000000001E-2</v>
      </c>
      <c r="N678" s="21">
        <v>43091.88</v>
      </c>
      <c r="O678" s="21">
        <v>30080.73</v>
      </c>
      <c r="P678" s="26">
        <v>13011.15</v>
      </c>
    </row>
    <row r="679" spans="1:16" x14ac:dyDescent="0.3">
      <c r="A679" s="25">
        <v>678</v>
      </c>
      <c r="B679" s="16" t="s">
        <v>51</v>
      </c>
      <c r="C679" s="16">
        <v>2024</v>
      </c>
      <c r="D679" s="16" t="s">
        <v>38</v>
      </c>
      <c r="E679" s="16" t="s">
        <v>31</v>
      </c>
      <c r="F679" s="16" t="s">
        <v>33</v>
      </c>
      <c r="G679" s="16">
        <v>61</v>
      </c>
      <c r="H679" s="16">
        <v>9071</v>
      </c>
      <c r="I679" s="16">
        <v>460.7</v>
      </c>
      <c r="J679" s="19">
        <v>0.72499999999999998</v>
      </c>
      <c r="K679" s="16">
        <v>85.2</v>
      </c>
      <c r="L679" s="19">
        <v>0.98199999999999998</v>
      </c>
      <c r="M679" s="19">
        <v>4.8000000000000001E-2</v>
      </c>
      <c r="N679" s="21">
        <v>86597.63</v>
      </c>
      <c r="O679" s="21">
        <v>58184.1</v>
      </c>
      <c r="P679" s="26">
        <v>28413.53</v>
      </c>
    </row>
    <row r="680" spans="1:16" x14ac:dyDescent="0.3">
      <c r="A680" s="25">
        <v>679</v>
      </c>
      <c r="B680" s="16" t="s">
        <v>51</v>
      </c>
      <c r="C680" s="16">
        <v>2024</v>
      </c>
      <c r="D680" s="16" t="s">
        <v>38</v>
      </c>
      <c r="E680" s="16" t="s">
        <v>35</v>
      </c>
      <c r="F680" s="16" t="s">
        <v>33</v>
      </c>
      <c r="G680" s="16">
        <v>38</v>
      </c>
      <c r="H680" s="16">
        <v>5114</v>
      </c>
      <c r="I680" s="16">
        <v>492.6</v>
      </c>
      <c r="J680" s="19">
        <v>0.71799999999999997</v>
      </c>
      <c r="K680" s="16">
        <v>89.6</v>
      </c>
      <c r="L680" s="19">
        <v>0.90300000000000002</v>
      </c>
      <c r="M680" s="19">
        <v>3.3000000000000002E-2</v>
      </c>
      <c r="N680" s="21">
        <v>55870.93</v>
      </c>
      <c r="O680" s="21">
        <v>39467.49</v>
      </c>
      <c r="P680" s="26">
        <v>16403.439999999999</v>
      </c>
    </row>
    <row r="681" spans="1:16" x14ac:dyDescent="0.3">
      <c r="A681" s="25">
        <v>680</v>
      </c>
      <c r="B681" s="16" t="s">
        <v>51</v>
      </c>
      <c r="C681" s="16">
        <v>2024</v>
      </c>
      <c r="D681" s="16" t="s">
        <v>38</v>
      </c>
      <c r="E681" s="16" t="s">
        <v>34</v>
      </c>
      <c r="F681" s="16" t="s">
        <v>36</v>
      </c>
      <c r="G681" s="16">
        <v>76</v>
      </c>
      <c r="H681" s="16">
        <v>10648</v>
      </c>
      <c r="I681" s="16">
        <v>890.6</v>
      </c>
      <c r="J681" s="19">
        <v>0.752</v>
      </c>
      <c r="K681" s="16">
        <v>84.5</v>
      </c>
      <c r="L681" s="19">
        <v>0.99399999999999999</v>
      </c>
      <c r="M681" s="19">
        <v>4.7E-2</v>
      </c>
      <c r="N681" s="21">
        <v>116436.26</v>
      </c>
      <c r="O681" s="21">
        <v>89899.82</v>
      </c>
      <c r="P681" s="26">
        <v>26536.44</v>
      </c>
    </row>
    <row r="682" spans="1:16" x14ac:dyDescent="0.3">
      <c r="A682" s="25">
        <v>681</v>
      </c>
      <c r="B682" s="16" t="s">
        <v>51</v>
      </c>
      <c r="C682" s="16">
        <v>2024</v>
      </c>
      <c r="D682" s="16" t="s">
        <v>38</v>
      </c>
      <c r="E682" s="16" t="s">
        <v>35</v>
      </c>
      <c r="F682" s="16" t="s">
        <v>36</v>
      </c>
      <c r="G682" s="16">
        <v>18</v>
      </c>
      <c r="H682" s="16">
        <v>2716</v>
      </c>
      <c r="I682" s="16">
        <v>911.2</v>
      </c>
      <c r="J682" s="19">
        <v>0.78900000000000003</v>
      </c>
      <c r="K682" s="16">
        <v>78.599999999999994</v>
      </c>
      <c r="L682" s="19">
        <v>1</v>
      </c>
      <c r="M682" s="19">
        <v>5.3999999999999999E-2</v>
      </c>
      <c r="N682" s="21">
        <v>24550.22</v>
      </c>
      <c r="O682" s="21">
        <v>16811.64</v>
      </c>
      <c r="P682" s="26">
        <v>7738.58</v>
      </c>
    </row>
    <row r="683" spans="1:16" x14ac:dyDescent="0.3">
      <c r="A683" s="25">
        <v>682</v>
      </c>
      <c r="B683" s="16" t="s">
        <v>51</v>
      </c>
      <c r="C683" s="16">
        <v>2024</v>
      </c>
      <c r="D683" s="16" t="s">
        <v>38</v>
      </c>
      <c r="E683" s="16" t="s">
        <v>27</v>
      </c>
      <c r="F683" s="16" t="s">
        <v>37</v>
      </c>
      <c r="G683" s="16">
        <v>71</v>
      </c>
      <c r="H683" s="16">
        <v>10620</v>
      </c>
      <c r="I683" s="16">
        <v>589.20000000000005</v>
      </c>
      <c r="J683" s="19">
        <v>0.61499999999999999</v>
      </c>
      <c r="K683" s="16">
        <v>73.900000000000006</v>
      </c>
      <c r="L683" s="19">
        <v>1</v>
      </c>
      <c r="M683" s="19">
        <v>2.5000000000000001E-2</v>
      </c>
      <c r="N683" s="21">
        <v>109815.63</v>
      </c>
      <c r="O683" s="21">
        <v>76820.929999999993</v>
      </c>
      <c r="P683" s="26">
        <v>32994.699999999997</v>
      </c>
    </row>
    <row r="684" spans="1:16" x14ac:dyDescent="0.3">
      <c r="A684" s="25">
        <v>683</v>
      </c>
      <c r="B684" s="16" t="s">
        <v>51</v>
      </c>
      <c r="C684" s="16">
        <v>2024</v>
      </c>
      <c r="D684" s="16" t="s">
        <v>39</v>
      </c>
      <c r="E684" s="16" t="s">
        <v>32</v>
      </c>
      <c r="F684" s="16" t="s">
        <v>28</v>
      </c>
      <c r="G684" s="16">
        <v>69</v>
      </c>
      <c r="H684" s="16">
        <v>11588</v>
      </c>
      <c r="I684" s="16">
        <v>452.3</v>
      </c>
      <c r="J684" s="19">
        <v>0.76800000000000002</v>
      </c>
      <c r="K684" s="16">
        <v>87.3</v>
      </c>
      <c r="L684" s="19">
        <v>0.92400000000000004</v>
      </c>
      <c r="M684" s="19">
        <v>4.5999999999999999E-2</v>
      </c>
      <c r="N684" s="21">
        <v>103755.05</v>
      </c>
      <c r="O684" s="21">
        <v>77948.45</v>
      </c>
      <c r="P684" s="26">
        <v>25806.6</v>
      </c>
    </row>
    <row r="685" spans="1:16" x14ac:dyDescent="0.3">
      <c r="A685" s="25">
        <v>684</v>
      </c>
      <c r="B685" s="16" t="s">
        <v>51</v>
      </c>
      <c r="C685" s="16">
        <v>2024</v>
      </c>
      <c r="D685" s="16" t="s">
        <v>39</v>
      </c>
      <c r="E685" s="16" t="s">
        <v>27</v>
      </c>
      <c r="F685" s="16" t="s">
        <v>28</v>
      </c>
      <c r="G685" s="16">
        <v>36</v>
      </c>
      <c r="H685" s="16">
        <v>4811</v>
      </c>
      <c r="I685" s="16">
        <v>380.1</v>
      </c>
      <c r="J685" s="19">
        <v>0.72399999999999998</v>
      </c>
      <c r="K685" s="16">
        <v>80.099999999999994</v>
      </c>
      <c r="L685" s="19">
        <v>0.86299999999999999</v>
      </c>
      <c r="M685" s="19">
        <v>3.5999999999999997E-2</v>
      </c>
      <c r="N685" s="21">
        <v>47722.41</v>
      </c>
      <c r="O685" s="21">
        <v>35680.660000000003</v>
      </c>
      <c r="P685" s="26">
        <v>12041.75</v>
      </c>
    </row>
    <row r="686" spans="1:16" x14ac:dyDescent="0.3">
      <c r="A686" s="25">
        <v>685</v>
      </c>
      <c r="B686" s="16" t="s">
        <v>51</v>
      </c>
      <c r="C686" s="16">
        <v>2024</v>
      </c>
      <c r="D686" s="16" t="s">
        <v>39</v>
      </c>
      <c r="E686" s="16" t="s">
        <v>30</v>
      </c>
      <c r="F686" s="16" t="s">
        <v>28</v>
      </c>
      <c r="G686" s="16">
        <v>44</v>
      </c>
      <c r="H686" s="16">
        <v>6449</v>
      </c>
      <c r="I686" s="16">
        <v>382.6</v>
      </c>
      <c r="J686" s="19">
        <v>0.76700000000000002</v>
      </c>
      <c r="K686" s="16">
        <v>87</v>
      </c>
      <c r="L686" s="19">
        <v>0.95799999999999996</v>
      </c>
      <c r="M686" s="19">
        <v>0.05</v>
      </c>
      <c r="N686" s="21">
        <v>75676.13</v>
      </c>
      <c r="O686" s="21">
        <v>46919.839999999997</v>
      </c>
      <c r="P686" s="26">
        <v>28756.29</v>
      </c>
    </row>
    <row r="687" spans="1:16" x14ac:dyDescent="0.3">
      <c r="A687" s="25">
        <v>686</v>
      </c>
      <c r="B687" s="16" t="s">
        <v>51</v>
      </c>
      <c r="C687" s="16">
        <v>2024</v>
      </c>
      <c r="D687" s="16" t="s">
        <v>39</v>
      </c>
      <c r="E687" s="16" t="s">
        <v>34</v>
      </c>
      <c r="F687" s="16" t="s">
        <v>28</v>
      </c>
      <c r="G687" s="16">
        <v>51</v>
      </c>
      <c r="H687" s="16">
        <v>7926</v>
      </c>
      <c r="I687" s="16">
        <v>429.8</v>
      </c>
      <c r="J687" s="19">
        <v>0.755</v>
      </c>
      <c r="K687" s="16">
        <v>81.400000000000006</v>
      </c>
      <c r="L687" s="19">
        <v>0.93799999999999994</v>
      </c>
      <c r="M687" s="19">
        <v>4.2000000000000003E-2</v>
      </c>
      <c r="N687" s="21">
        <v>77992.070000000007</v>
      </c>
      <c r="O687" s="21">
        <v>53882.38</v>
      </c>
      <c r="P687" s="26">
        <v>24109.69</v>
      </c>
    </row>
    <row r="688" spans="1:16" x14ac:dyDescent="0.3">
      <c r="A688" s="25">
        <v>687</v>
      </c>
      <c r="B688" s="16" t="s">
        <v>51</v>
      </c>
      <c r="C688" s="16">
        <v>2024</v>
      </c>
      <c r="D688" s="16" t="s">
        <v>39</v>
      </c>
      <c r="E688" s="16" t="s">
        <v>31</v>
      </c>
      <c r="F688" s="16" t="s">
        <v>28</v>
      </c>
      <c r="G688" s="16">
        <v>56</v>
      </c>
      <c r="H688" s="16">
        <v>8245</v>
      </c>
      <c r="I688" s="16">
        <v>420.1</v>
      </c>
      <c r="J688" s="19">
        <v>0.73099999999999998</v>
      </c>
      <c r="K688" s="16">
        <v>86.1</v>
      </c>
      <c r="L688" s="19">
        <v>0.95</v>
      </c>
      <c r="M688" s="19">
        <v>4.7E-2</v>
      </c>
      <c r="N688" s="21">
        <v>84488.04</v>
      </c>
      <c r="O688" s="21">
        <v>65116.51</v>
      </c>
      <c r="P688" s="26">
        <v>19371.53</v>
      </c>
    </row>
    <row r="689" spans="1:16" x14ac:dyDescent="0.3">
      <c r="A689" s="25">
        <v>688</v>
      </c>
      <c r="B689" s="16" t="s">
        <v>51</v>
      </c>
      <c r="C689" s="16">
        <v>2024</v>
      </c>
      <c r="D689" s="16" t="s">
        <v>39</v>
      </c>
      <c r="E689" s="16" t="s">
        <v>31</v>
      </c>
      <c r="F689" s="16" t="s">
        <v>29</v>
      </c>
      <c r="G689" s="16">
        <v>47</v>
      </c>
      <c r="H689" s="16">
        <v>6230</v>
      </c>
      <c r="I689" s="16">
        <v>231.3</v>
      </c>
      <c r="J689" s="19">
        <v>0.66400000000000003</v>
      </c>
      <c r="K689" s="16">
        <v>82.5</v>
      </c>
      <c r="L689" s="19">
        <v>0.98599999999999999</v>
      </c>
      <c r="M689" s="19">
        <v>3.7999999999999999E-2</v>
      </c>
      <c r="N689" s="21">
        <v>58581.54</v>
      </c>
      <c r="O689" s="21">
        <v>40781.58</v>
      </c>
      <c r="P689" s="26">
        <v>17799.96</v>
      </c>
    </row>
    <row r="690" spans="1:16" x14ac:dyDescent="0.3">
      <c r="A690" s="25">
        <v>689</v>
      </c>
      <c r="B690" s="16" t="s">
        <v>51</v>
      </c>
      <c r="C690" s="16">
        <v>2024</v>
      </c>
      <c r="D690" s="16" t="s">
        <v>39</v>
      </c>
      <c r="E690" s="16" t="s">
        <v>32</v>
      </c>
      <c r="F690" s="16" t="s">
        <v>33</v>
      </c>
      <c r="G690" s="16">
        <v>70</v>
      </c>
      <c r="H690" s="16">
        <v>9932</v>
      </c>
      <c r="I690" s="16">
        <v>476.8</v>
      </c>
      <c r="J690" s="19">
        <v>0.73899999999999999</v>
      </c>
      <c r="K690" s="16">
        <v>83</v>
      </c>
      <c r="L690" s="19">
        <v>0.83499999999999996</v>
      </c>
      <c r="M690" s="19">
        <v>3.1E-2</v>
      </c>
      <c r="N690" s="21">
        <v>121688.32000000001</v>
      </c>
      <c r="O690" s="21">
        <v>88988.01</v>
      </c>
      <c r="P690" s="26">
        <v>32700.31</v>
      </c>
    </row>
    <row r="691" spans="1:16" x14ac:dyDescent="0.3">
      <c r="A691" s="25">
        <v>690</v>
      </c>
      <c r="B691" s="16" t="s">
        <v>51</v>
      </c>
      <c r="C691" s="16">
        <v>2024</v>
      </c>
      <c r="D691" s="16" t="s">
        <v>39</v>
      </c>
      <c r="E691" s="16" t="s">
        <v>27</v>
      </c>
      <c r="F691" s="16" t="s">
        <v>33</v>
      </c>
      <c r="G691" s="16">
        <v>43</v>
      </c>
      <c r="H691" s="16">
        <v>7869</v>
      </c>
      <c r="I691" s="16">
        <v>479.1</v>
      </c>
      <c r="J691" s="19">
        <v>0.79200000000000004</v>
      </c>
      <c r="K691" s="16">
        <v>76.099999999999994</v>
      </c>
      <c r="L691" s="19">
        <v>0.89100000000000001</v>
      </c>
      <c r="M691" s="19">
        <v>3.7999999999999999E-2</v>
      </c>
      <c r="N691" s="21">
        <v>66533.59</v>
      </c>
      <c r="O691" s="21">
        <v>47995.05</v>
      </c>
      <c r="P691" s="26">
        <v>18538.54</v>
      </c>
    </row>
    <row r="692" spans="1:16" x14ac:dyDescent="0.3">
      <c r="A692" s="25">
        <v>691</v>
      </c>
      <c r="B692" s="16" t="s">
        <v>51</v>
      </c>
      <c r="C692" s="16">
        <v>2024</v>
      </c>
      <c r="D692" s="16" t="s">
        <v>39</v>
      </c>
      <c r="E692" s="16" t="s">
        <v>31</v>
      </c>
      <c r="F692" s="16" t="s">
        <v>33</v>
      </c>
      <c r="G692" s="16">
        <v>27</v>
      </c>
      <c r="H692" s="16">
        <v>3611</v>
      </c>
      <c r="I692" s="16">
        <v>499.8</v>
      </c>
      <c r="J692" s="19">
        <v>0.70399999999999996</v>
      </c>
      <c r="K692" s="16">
        <v>82.3</v>
      </c>
      <c r="L692" s="19">
        <v>1</v>
      </c>
      <c r="M692" s="19">
        <v>2.9000000000000001E-2</v>
      </c>
      <c r="N692" s="21">
        <v>39159.32</v>
      </c>
      <c r="O692" s="21">
        <v>28246.61</v>
      </c>
      <c r="P692" s="26">
        <v>10912.71</v>
      </c>
    </row>
    <row r="693" spans="1:16" x14ac:dyDescent="0.3">
      <c r="A693" s="25">
        <v>692</v>
      </c>
      <c r="B693" s="16" t="s">
        <v>51</v>
      </c>
      <c r="C693" s="16">
        <v>2024</v>
      </c>
      <c r="D693" s="16" t="s">
        <v>39</v>
      </c>
      <c r="E693" s="16" t="s">
        <v>35</v>
      </c>
      <c r="F693" s="16" t="s">
        <v>33</v>
      </c>
      <c r="G693" s="16">
        <v>44</v>
      </c>
      <c r="H693" s="16">
        <v>6435</v>
      </c>
      <c r="I693" s="16">
        <v>451</v>
      </c>
      <c r="J693" s="19">
        <v>0.71299999999999997</v>
      </c>
      <c r="K693" s="16">
        <v>78</v>
      </c>
      <c r="L693" s="19">
        <v>1</v>
      </c>
      <c r="M693" s="19">
        <v>2.9000000000000001E-2</v>
      </c>
      <c r="N693" s="21">
        <v>66160.320000000007</v>
      </c>
      <c r="O693" s="21">
        <v>45053.599999999999</v>
      </c>
      <c r="P693" s="26">
        <v>21106.720000000001</v>
      </c>
    </row>
    <row r="694" spans="1:16" x14ac:dyDescent="0.3">
      <c r="A694" s="25">
        <v>693</v>
      </c>
      <c r="B694" s="16" t="s">
        <v>51</v>
      </c>
      <c r="C694" s="16">
        <v>2024</v>
      </c>
      <c r="D694" s="16" t="s">
        <v>39</v>
      </c>
      <c r="E694" s="16" t="s">
        <v>32</v>
      </c>
      <c r="F694" s="16" t="s">
        <v>36</v>
      </c>
      <c r="G694" s="16">
        <v>26</v>
      </c>
      <c r="H694" s="16">
        <v>3377</v>
      </c>
      <c r="I694" s="16">
        <v>883.1</v>
      </c>
      <c r="J694" s="19">
        <v>0.70199999999999996</v>
      </c>
      <c r="K694" s="16">
        <v>81.2</v>
      </c>
      <c r="L694" s="19">
        <v>0.90500000000000003</v>
      </c>
      <c r="M694" s="19">
        <v>3.2000000000000001E-2</v>
      </c>
      <c r="N694" s="21">
        <v>38152.58</v>
      </c>
      <c r="O694" s="21">
        <v>24192.560000000001</v>
      </c>
      <c r="P694" s="26">
        <v>13960.02</v>
      </c>
    </row>
    <row r="695" spans="1:16" x14ac:dyDescent="0.3">
      <c r="A695" s="25">
        <v>694</v>
      </c>
      <c r="B695" s="16" t="s">
        <v>51</v>
      </c>
      <c r="C695" s="16">
        <v>2024</v>
      </c>
      <c r="D695" s="16" t="s">
        <v>39</v>
      </c>
      <c r="E695" s="16" t="s">
        <v>27</v>
      </c>
      <c r="F695" s="16" t="s">
        <v>36</v>
      </c>
      <c r="G695" s="16">
        <v>55</v>
      </c>
      <c r="H695" s="16">
        <v>9636</v>
      </c>
      <c r="I695" s="16">
        <v>885.4</v>
      </c>
      <c r="J695" s="19">
        <v>0.77300000000000002</v>
      </c>
      <c r="K695" s="16">
        <v>82.3</v>
      </c>
      <c r="L695" s="19">
        <v>1</v>
      </c>
      <c r="M695" s="19">
        <v>2.5000000000000001E-2</v>
      </c>
      <c r="N695" s="21">
        <v>110536.3</v>
      </c>
      <c r="O695" s="21">
        <v>78526.289999999994</v>
      </c>
      <c r="P695" s="26">
        <v>32010.01</v>
      </c>
    </row>
    <row r="696" spans="1:16" x14ac:dyDescent="0.3">
      <c r="A696" s="25">
        <v>695</v>
      </c>
      <c r="B696" s="16" t="s">
        <v>51</v>
      </c>
      <c r="C696" s="16">
        <v>2024</v>
      </c>
      <c r="D696" s="16" t="s">
        <v>39</v>
      </c>
      <c r="E696" s="16" t="s">
        <v>30</v>
      </c>
      <c r="F696" s="16" t="s">
        <v>36</v>
      </c>
      <c r="G696" s="16">
        <v>40</v>
      </c>
      <c r="H696" s="16">
        <v>5576</v>
      </c>
      <c r="I696" s="16">
        <v>948.4</v>
      </c>
      <c r="J696" s="19">
        <v>0.69899999999999995</v>
      </c>
      <c r="K696" s="16">
        <v>90.4</v>
      </c>
      <c r="L696" s="19">
        <v>0.875</v>
      </c>
      <c r="M696" s="19">
        <v>0.04</v>
      </c>
      <c r="N696" s="21">
        <v>52455.44</v>
      </c>
      <c r="O696" s="21">
        <v>38664.07</v>
      </c>
      <c r="P696" s="26">
        <v>13791.37</v>
      </c>
    </row>
    <row r="697" spans="1:16" x14ac:dyDescent="0.3">
      <c r="A697" s="25">
        <v>696</v>
      </c>
      <c r="B697" s="16" t="s">
        <v>51</v>
      </c>
      <c r="C697" s="16">
        <v>2024</v>
      </c>
      <c r="D697" s="16" t="s">
        <v>39</v>
      </c>
      <c r="E697" s="16" t="s">
        <v>27</v>
      </c>
      <c r="F697" s="16" t="s">
        <v>37</v>
      </c>
      <c r="G697" s="16">
        <v>57</v>
      </c>
      <c r="H697" s="16">
        <v>6260</v>
      </c>
      <c r="I697" s="16">
        <v>718</v>
      </c>
      <c r="J697" s="19">
        <v>0.60399999999999998</v>
      </c>
      <c r="K697" s="16">
        <v>74.599999999999994</v>
      </c>
      <c r="L697" s="19">
        <v>0.91600000000000004</v>
      </c>
      <c r="M697" s="19">
        <v>4.7E-2</v>
      </c>
      <c r="N697" s="21">
        <v>82658.27</v>
      </c>
      <c r="O697" s="21">
        <v>56918.16</v>
      </c>
      <c r="P697" s="26">
        <v>25740.11</v>
      </c>
    </row>
    <row r="698" spans="1:16" x14ac:dyDescent="0.3">
      <c r="A698" s="25">
        <v>697</v>
      </c>
      <c r="B698" s="16" t="s">
        <v>51</v>
      </c>
      <c r="C698" s="16">
        <v>2024</v>
      </c>
      <c r="D698" s="16" t="s">
        <v>39</v>
      </c>
      <c r="E698" s="16" t="s">
        <v>34</v>
      </c>
      <c r="F698" s="16" t="s">
        <v>37</v>
      </c>
      <c r="G698" s="16">
        <v>33</v>
      </c>
      <c r="H698" s="16">
        <v>5289</v>
      </c>
      <c r="I698" s="16">
        <v>702.4</v>
      </c>
      <c r="J698" s="19">
        <v>0.64700000000000002</v>
      </c>
      <c r="K698" s="16">
        <v>84.2</v>
      </c>
      <c r="L698" s="19">
        <v>1</v>
      </c>
      <c r="M698" s="19">
        <v>4.8000000000000001E-2</v>
      </c>
      <c r="N698" s="21">
        <v>41814.76</v>
      </c>
      <c r="O698" s="21">
        <v>28510.93</v>
      </c>
      <c r="P698" s="26">
        <v>13303.83</v>
      </c>
    </row>
    <row r="699" spans="1:16" x14ac:dyDescent="0.3">
      <c r="A699" s="25">
        <v>698</v>
      </c>
      <c r="B699" s="16" t="s">
        <v>51</v>
      </c>
      <c r="C699" s="16">
        <v>2024</v>
      </c>
      <c r="D699" s="16" t="s">
        <v>39</v>
      </c>
      <c r="E699" s="16" t="s">
        <v>35</v>
      </c>
      <c r="F699" s="16" t="s">
        <v>37</v>
      </c>
      <c r="G699" s="16">
        <v>74</v>
      </c>
      <c r="H699" s="16">
        <v>10343</v>
      </c>
      <c r="I699" s="16">
        <v>708.2</v>
      </c>
      <c r="J699" s="19">
        <v>0.68899999999999995</v>
      </c>
      <c r="K699" s="16">
        <v>80.900000000000006</v>
      </c>
      <c r="L699" s="19">
        <v>0.95099999999999996</v>
      </c>
      <c r="M699" s="19">
        <v>4.9000000000000002E-2</v>
      </c>
      <c r="N699" s="21">
        <v>99746.78</v>
      </c>
      <c r="O699" s="21">
        <v>65061.32</v>
      </c>
      <c r="P699" s="26">
        <v>34685.46</v>
      </c>
    </row>
    <row r="700" spans="1:16" x14ac:dyDescent="0.3">
      <c r="A700" s="25">
        <v>699</v>
      </c>
      <c r="B700" s="16" t="s">
        <v>51</v>
      </c>
      <c r="C700" s="16">
        <v>2024</v>
      </c>
      <c r="D700" s="16" t="s">
        <v>40</v>
      </c>
      <c r="E700" s="16" t="s">
        <v>27</v>
      </c>
      <c r="F700" s="16" t="s">
        <v>28</v>
      </c>
      <c r="G700" s="16">
        <v>40</v>
      </c>
      <c r="H700" s="16">
        <v>6152</v>
      </c>
      <c r="I700" s="16">
        <v>437.6</v>
      </c>
      <c r="J700" s="19">
        <v>0.83</v>
      </c>
      <c r="K700" s="16">
        <v>89.4</v>
      </c>
      <c r="L700" s="19">
        <v>0.82199999999999995</v>
      </c>
      <c r="M700" s="19">
        <v>3.5999999999999997E-2</v>
      </c>
      <c r="N700" s="21">
        <v>58750.96</v>
      </c>
      <c r="O700" s="21">
        <v>39103.25</v>
      </c>
      <c r="P700" s="26">
        <v>19647.71</v>
      </c>
    </row>
    <row r="701" spans="1:16" x14ac:dyDescent="0.3">
      <c r="A701" s="25">
        <v>700</v>
      </c>
      <c r="B701" s="16" t="s">
        <v>51</v>
      </c>
      <c r="C701" s="16">
        <v>2024</v>
      </c>
      <c r="D701" s="16" t="s">
        <v>40</v>
      </c>
      <c r="E701" s="16" t="s">
        <v>31</v>
      </c>
      <c r="F701" s="16" t="s">
        <v>28</v>
      </c>
      <c r="G701" s="16">
        <v>50</v>
      </c>
      <c r="H701" s="16">
        <v>8663</v>
      </c>
      <c r="I701" s="16">
        <v>394.8</v>
      </c>
      <c r="J701" s="19">
        <v>0.81399999999999995</v>
      </c>
      <c r="K701" s="16">
        <v>82.5</v>
      </c>
      <c r="L701" s="19">
        <v>0.85399999999999998</v>
      </c>
      <c r="M701" s="19">
        <v>3.3000000000000002E-2</v>
      </c>
      <c r="N701" s="21">
        <v>93267.82</v>
      </c>
      <c r="O701" s="21">
        <v>70903.149999999994</v>
      </c>
      <c r="P701" s="26">
        <v>22364.67</v>
      </c>
    </row>
    <row r="702" spans="1:16" x14ac:dyDescent="0.3">
      <c r="A702" s="25">
        <v>701</v>
      </c>
      <c r="B702" s="16" t="s">
        <v>51</v>
      </c>
      <c r="C702" s="16">
        <v>2024</v>
      </c>
      <c r="D702" s="16" t="s">
        <v>40</v>
      </c>
      <c r="E702" s="16" t="s">
        <v>30</v>
      </c>
      <c r="F702" s="16" t="s">
        <v>29</v>
      </c>
      <c r="G702" s="16">
        <v>54</v>
      </c>
      <c r="H702" s="16">
        <v>5752</v>
      </c>
      <c r="I702" s="16">
        <v>289</v>
      </c>
      <c r="J702" s="19">
        <v>0.54800000000000004</v>
      </c>
      <c r="K702" s="16">
        <v>83.2</v>
      </c>
      <c r="L702" s="19">
        <v>0.85399999999999998</v>
      </c>
      <c r="M702" s="19">
        <v>3.5999999999999997E-2</v>
      </c>
      <c r="N702" s="21">
        <v>74648.259999999995</v>
      </c>
      <c r="O702" s="21">
        <v>46378.76</v>
      </c>
      <c r="P702" s="26">
        <v>28269.5</v>
      </c>
    </row>
    <row r="703" spans="1:16" x14ac:dyDescent="0.3">
      <c r="A703" s="25">
        <v>702</v>
      </c>
      <c r="B703" s="16" t="s">
        <v>51</v>
      </c>
      <c r="C703" s="16">
        <v>2024</v>
      </c>
      <c r="D703" s="16" t="s">
        <v>40</v>
      </c>
      <c r="E703" s="16" t="s">
        <v>27</v>
      </c>
      <c r="F703" s="16" t="s">
        <v>33</v>
      </c>
      <c r="G703" s="16">
        <v>52</v>
      </c>
      <c r="H703" s="16">
        <v>5996</v>
      </c>
      <c r="I703" s="16">
        <v>445.4</v>
      </c>
      <c r="J703" s="19">
        <v>0.70899999999999996</v>
      </c>
      <c r="K703" s="16">
        <v>77.900000000000006</v>
      </c>
      <c r="L703" s="19">
        <v>0.81599999999999995</v>
      </c>
      <c r="M703" s="19">
        <v>0.03</v>
      </c>
      <c r="N703" s="21">
        <v>73148.100000000006</v>
      </c>
      <c r="O703" s="21">
        <v>51302.05</v>
      </c>
      <c r="P703" s="26">
        <v>21846.05</v>
      </c>
    </row>
    <row r="704" spans="1:16" x14ac:dyDescent="0.3">
      <c r="A704" s="25">
        <v>703</v>
      </c>
      <c r="B704" s="16" t="s">
        <v>51</v>
      </c>
      <c r="C704" s="16">
        <v>2024</v>
      </c>
      <c r="D704" s="16" t="s">
        <v>40</v>
      </c>
      <c r="E704" s="16" t="s">
        <v>34</v>
      </c>
      <c r="F704" s="16" t="s">
        <v>33</v>
      </c>
      <c r="G704" s="16">
        <v>38</v>
      </c>
      <c r="H704" s="16">
        <v>5830</v>
      </c>
      <c r="I704" s="16">
        <v>449.1</v>
      </c>
      <c r="J704" s="19">
        <v>0.73699999999999999</v>
      </c>
      <c r="K704" s="16">
        <v>77.400000000000006</v>
      </c>
      <c r="L704" s="19">
        <v>1</v>
      </c>
      <c r="M704" s="19">
        <v>4.1000000000000002E-2</v>
      </c>
      <c r="N704" s="21">
        <v>74181.13</v>
      </c>
      <c r="O704" s="21">
        <v>56963.44</v>
      </c>
      <c r="P704" s="26">
        <v>17217.689999999999</v>
      </c>
    </row>
    <row r="705" spans="1:16" x14ac:dyDescent="0.3">
      <c r="A705" s="25">
        <v>704</v>
      </c>
      <c r="B705" s="16" t="s">
        <v>51</v>
      </c>
      <c r="C705" s="16">
        <v>2024</v>
      </c>
      <c r="D705" s="16" t="s">
        <v>40</v>
      </c>
      <c r="E705" s="16" t="s">
        <v>35</v>
      </c>
      <c r="F705" s="16" t="s">
        <v>33</v>
      </c>
      <c r="G705" s="16">
        <v>53</v>
      </c>
      <c r="H705" s="16">
        <v>7722</v>
      </c>
      <c r="I705" s="16">
        <v>450.8</v>
      </c>
      <c r="J705" s="19">
        <v>0.79700000000000004</v>
      </c>
      <c r="K705" s="16">
        <v>83.9</v>
      </c>
      <c r="L705" s="19">
        <v>0.92400000000000004</v>
      </c>
      <c r="M705" s="19">
        <v>4.7E-2</v>
      </c>
      <c r="N705" s="21">
        <v>83681.740000000005</v>
      </c>
      <c r="O705" s="21">
        <v>54411.48</v>
      </c>
      <c r="P705" s="26">
        <v>29270.26</v>
      </c>
    </row>
    <row r="706" spans="1:16" x14ac:dyDescent="0.3">
      <c r="A706" s="25">
        <v>705</v>
      </c>
      <c r="B706" s="16" t="s">
        <v>51</v>
      </c>
      <c r="C706" s="16">
        <v>2024</v>
      </c>
      <c r="D706" s="16" t="s">
        <v>40</v>
      </c>
      <c r="E706" s="16" t="s">
        <v>32</v>
      </c>
      <c r="F706" s="16" t="s">
        <v>36</v>
      </c>
      <c r="G706" s="16">
        <v>29</v>
      </c>
      <c r="H706" s="16">
        <v>3725</v>
      </c>
      <c r="I706" s="16">
        <v>941.9</v>
      </c>
      <c r="J706" s="19">
        <v>0.64300000000000002</v>
      </c>
      <c r="K706" s="16">
        <v>79.900000000000006</v>
      </c>
      <c r="L706" s="19">
        <v>0.88500000000000001</v>
      </c>
      <c r="M706" s="19">
        <v>0.04</v>
      </c>
      <c r="N706" s="21">
        <v>35379.1</v>
      </c>
      <c r="O706" s="21">
        <v>24085.53</v>
      </c>
      <c r="P706" s="26">
        <v>11293.57</v>
      </c>
    </row>
    <row r="707" spans="1:16" x14ac:dyDescent="0.3">
      <c r="A707" s="25">
        <v>706</v>
      </c>
      <c r="B707" s="16" t="s">
        <v>51</v>
      </c>
      <c r="C707" s="16">
        <v>2024</v>
      </c>
      <c r="D707" s="16" t="s">
        <v>40</v>
      </c>
      <c r="E707" s="16" t="s">
        <v>34</v>
      </c>
      <c r="F707" s="16" t="s">
        <v>36</v>
      </c>
      <c r="G707" s="16">
        <v>30</v>
      </c>
      <c r="H707" s="16">
        <v>5095</v>
      </c>
      <c r="I707" s="16">
        <v>878.4</v>
      </c>
      <c r="J707" s="19">
        <v>0.58599999999999997</v>
      </c>
      <c r="K707" s="16">
        <v>79</v>
      </c>
      <c r="L707" s="19">
        <v>0.92</v>
      </c>
      <c r="M707" s="19">
        <v>3.9E-2</v>
      </c>
      <c r="N707" s="21">
        <v>34799.08</v>
      </c>
      <c r="O707" s="21">
        <v>23002.22</v>
      </c>
      <c r="P707" s="26">
        <v>11796.86</v>
      </c>
    </row>
    <row r="708" spans="1:16" x14ac:dyDescent="0.3">
      <c r="A708" s="25">
        <v>707</v>
      </c>
      <c r="B708" s="16" t="s">
        <v>51</v>
      </c>
      <c r="C708" s="16">
        <v>2024</v>
      </c>
      <c r="D708" s="16" t="s">
        <v>40</v>
      </c>
      <c r="E708" s="16" t="s">
        <v>35</v>
      </c>
      <c r="F708" s="16" t="s">
        <v>36</v>
      </c>
      <c r="G708" s="16">
        <v>26</v>
      </c>
      <c r="H708" s="16">
        <v>4461</v>
      </c>
      <c r="I708" s="16">
        <v>896.2</v>
      </c>
      <c r="J708" s="19">
        <v>0.80400000000000005</v>
      </c>
      <c r="K708" s="16">
        <v>72.8</v>
      </c>
      <c r="L708" s="19">
        <v>1</v>
      </c>
      <c r="M708" s="19">
        <v>3.6999999999999998E-2</v>
      </c>
      <c r="N708" s="21">
        <v>37260.1</v>
      </c>
      <c r="O708" s="21">
        <v>28371.32</v>
      </c>
      <c r="P708" s="26">
        <v>8888.7800000000007</v>
      </c>
    </row>
    <row r="709" spans="1:16" x14ac:dyDescent="0.3">
      <c r="A709" s="25">
        <v>708</v>
      </c>
      <c r="B709" s="16" t="s">
        <v>51</v>
      </c>
      <c r="C709" s="16">
        <v>2024</v>
      </c>
      <c r="D709" s="16" t="s">
        <v>40</v>
      </c>
      <c r="E709" s="16" t="s">
        <v>27</v>
      </c>
      <c r="F709" s="16" t="s">
        <v>37</v>
      </c>
      <c r="G709" s="16">
        <v>39</v>
      </c>
      <c r="H709" s="16">
        <v>6221</v>
      </c>
      <c r="I709" s="16">
        <v>693.1</v>
      </c>
      <c r="J709" s="19">
        <v>0.58899999999999997</v>
      </c>
      <c r="K709" s="16">
        <v>81.099999999999994</v>
      </c>
      <c r="L709" s="19">
        <v>0.89300000000000002</v>
      </c>
      <c r="M709" s="19">
        <v>1.2E-2</v>
      </c>
      <c r="N709" s="21">
        <v>44901.62</v>
      </c>
      <c r="O709" s="21">
        <v>29126.28</v>
      </c>
      <c r="P709" s="26">
        <v>15775.34</v>
      </c>
    </row>
    <row r="710" spans="1:16" x14ac:dyDescent="0.3">
      <c r="A710" s="25">
        <v>709</v>
      </c>
      <c r="B710" s="16" t="s">
        <v>51</v>
      </c>
      <c r="C710" s="16">
        <v>2024</v>
      </c>
      <c r="D710" s="16" t="s">
        <v>40</v>
      </c>
      <c r="E710" s="16" t="s">
        <v>30</v>
      </c>
      <c r="F710" s="16" t="s">
        <v>37</v>
      </c>
      <c r="G710" s="16">
        <v>38</v>
      </c>
      <c r="H710" s="16">
        <v>3363</v>
      </c>
      <c r="I710" s="16">
        <v>682.3</v>
      </c>
      <c r="J710" s="19">
        <v>0.67500000000000004</v>
      </c>
      <c r="K710" s="16">
        <v>81.400000000000006</v>
      </c>
      <c r="L710" s="19">
        <v>0.92400000000000004</v>
      </c>
      <c r="M710" s="19">
        <v>0.02</v>
      </c>
      <c r="N710" s="21">
        <v>61906.49</v>
      </c>
      <c r="O710" s="21">
        <v>47584.01</v>
      </c>
      <c r="P710" s="26">
        <v>14322.48</v>
      </c>
    </row>
    <row r="711" spans="1:16" x14ac:dyDescent="0.3">
      <c r="A711" s="25">
        <v>710</v>
      </c>
      <c r="B711" s="16" t="s">
        <v>51</v>
      </c>
      <c r="C711" s="16">
        <v>2024</v>
      </c>
      <c r="D711" s="16" t="s">
        <v>41</v>
      </c>
      <c r="E711" s="16" t="s">
        <v>32</v>
      </c>
      <c r="F711" s="16" t="s">
        <v>28</v>
      </c>
      <c r="G711" s="16">
        <v>32</v>
      </c>
      <c r="H711" s="16">
        <v>4440</v>
      </c>
      <c r="I711" s="16">
        <v>489.8</v>
      </c>
      <c r="J711" s="19">
        <v>0.92400000000000004</v>
      </c>
      <c r="K711" s="16">
        <v>87.1</v>
      </c>
      <c r="L711" s="19">
        <v>0.82899999999999996</v>
      </c>
      <c r="M711" s="19">
        <v>2.5000000000000001E-2</v>
      </c>
      <c r="N711" s="21">
        <v>73357.5</v>
      </c>
      <c r="O711" s="21">
        <v>50991.5</v>
      </c>
      <c r="P711" s="26">
        <v>22366</v>
      </c>
    </row>
    <row r="712" spans="1:16" x14ac:dyDescent="0.3">
      <c r="A712" s="25">
        <v>711</v>
      </c>
      <c r="B712" s="16" t="s">
        <v>51</v>
      </c>
      <c r="C712" s="16">
        <v>2024</v>
      </c>
      <c r="D712" s="16" t="s">
        <v>41</v>
      </c>
      <c r="E712" s="16" t="s">
        <v>27</v>
      </c>
      <c r="F712" s="16" t="s">
        <v>28</v>
      </c>
      <c r="G712" s="16">
        <v>9</v>
      </c>
      <c r="H712" s="16">
        <v>1443</v>
      </c>
      <c r="I712" s="16">
        <v>459.4</v>
      </c>
      <c r="J712" s="19">
        <v>0.68500000000000005</v>
      </c>
      <c r="K712" s="16">
        <v>86.9</v>
      </c>
      <c r="L712" s="19">
        <v>0.89600000000000002</v>
      </c>
      <c r="M712" s="19">
        <v>3.5000000000000003E-2</v>
      </c>
      <c r="N712" s="21">
        <v>13917.83</v>
      </c>
      <c r="O712" s="21">
        <v>10612.79</v>
      </c>
      <c r="P712" s="26">
        <v>3305.04</v>
      </c>
    </row>
    <row r="713" spans="1:16" x14ac:dyDescent="0.3">
      <c r="A713" s="25">
        <v>712</v>
      </c>
      <c r="B713" s="16" t="s">
        <v>51</v>
      </c>
      <c r="C713" s="16">
        <v>2024</v>
      </c>
      <c r="D713" s="16" t="s">
        <v>41</v>
      </c>
      <c r="E713" s="16" t="s">
        <v>34</v>
      </c>
      <c r="F713" s="16" t="s">
        <v>28</v>
      </c>
      <c r="G713" s="16">
        <v>42</v>
      </c>
      <c r="H713" s="16">
        <v>6673</v>
      </c>
      <c r="I713" s="16">
        <v>409.2</v>
      </c>
      <c r="J713" s="19">
        <v>0.84899999999999998</v>
      </c>
      <c r="K713" s="16">
        <v>96.1</v>
      </c>
      <c r="L713" s="19">
        <v>0.82499999999999996</v>
      </c>
      <c r="M713" s="19">
        <v>2.1000000000000001E-2</v>
      </c>
      <c r="N713" s="21">
        <v>89204.46</v>
      </c>
      <c r="O713" s="21">
        <v>60244.4</v>
      </c>
      <c r="P713" s="26">
        <v>28960.06</v>
      </c>
    </row>
    <row r="714" spans="1:16" x14ac:dyDescent="0.3">
      <c r="A714" s="25">
        <v>713</v>
      </c>
      <c r="B714" s="16" t="s">
        <v>51</v>
      </c>
      <c r="C714" s="16">
        <v>2024</v>
      </c>
      <c r="D714" s="16" t="s">
        <v>41</v>
      </c>
      <c r="E714" s="16" t="s">
        <v>35</v>
      </c>
      <c r="F714" s="16" t="s">
        <v>29</v>
      </c>
      <c r="G714" s="16">
        <v>56</v>
      </c>
      <c r="H714" s="16">
        <v>9685</v>
      </c>
      <c r="I714" s="16">
        <v>342.3</v>
      </c>
      <c r="J714" s="19">
        <v>0.67800000000000005</v>
      </c>
      <c r="K714" s="16">
        <v>83.1</v>
      </c>
      <c r="L714" s="19">
        <v>0.94399999999999995</v>
      </c>
      <c r="M714" s="19">
        <v>0.02</v>
      </c>
      <c r="N714" s="21">
        <v>118498.75</v>
      </c>
      <c r="O714" s="21">
        <v>89258.55</v>
      </c>
      <c r="P714" s="26">
        <v>29240.2</v>
      </c>
    </row>
    <row r="715" spans="1:16" x14ac:dyDescent="0.3">
      <c r="A715" s="25">
        <v>714</v>
      </c>
      <c r="B715" s="16" t="s">
        <v>51</v>
      </c>
      <c r="C715" s="16">
        <v>2024</v>
      </c>
      <c r="D715" s="16" t="s">
        <v>41</v>
      </c>
      <c r="E715" s="16" t="s">
        <v>27</v>
      </c>
      <c r="F715" s="16" t="s">
        <v>33</v>
      </c>
      <c r="G715" s="16">
        <v>11</v>
      </c>
      <c r="H715" s="16">
        <v>1757</v>
      </c>
      <c r="I715" s="16">
        <v>526.20000000000005</v>
      </c>
      <c r="J715" s="19">
        <v>0.64800000000000002</v>
      </c>
      <c r="K715" s="16">
        <v>88</v>
      </c>
      <c r="L715" s="19">
        <v>0.878</v>
      </c>
      <c r="M715" s="19">
        <v>0.04</v>
      </c>
      <c r="N715" s="21">
        <v>21349.7</v>
      </c>
      <c r="O715" s="21">
        <v>13586.59</v>
      </c>
      <c r="P715" s="26">
        <v>7763.11</v>
      </c>
    </row>
    <row r="716" spans="1:16" x14ac:dyDescent="0.3">
      <c r="A716" s="25">
        <v>715</v>
      </c>
      <c r="B716" s="16" t="s">
        <v>51</v>
      </c>
      <c r="C716" s="16">
        <v>2024</v>
      </c>
      <c r="D716" s="16" t="s">
        <v>41</v>
      </c>
      <c r="E716" s="16" t="s">
        <v>32</v>
      </c>
      <c r="F716" s="16" t="s">
        <v>36</v>
      </c>
      <c r="G716" s="16">
        <v>34</v>
      </c>
      <c r="H716" s="16">
        <v>4468</v>
      </c>
      <c r="I716" s="16">
        <v>854.3</v>
      </c>
      <c r="J716" s="19">
        <v>0.70899999999999996</v>
      </c>
      <c r="K716" s="16">
        <v>84.4</v>
      </c>
      <c r="L716" s="19">
        <v>0.79600000000000004</v>
      </c>
      <c r="M716" s="19">
        <v>3.5000000000000003E-2</v>
      </c>
      <c r="N716" s="21">
        <v>51145.35</v>
      </c>
      <c r="O716" s="21">
        <v>38183.11</v>
      </c>
      <c r="P716" s="26">
        <v>12962.24</v>
      </c>
    </row>
    <row r="717" spans="1:16" x14ac:dyDescent="0.3">
      <c r="A717" s="25">
        <v>716</v>
      </c>
      <c r="B717" s="16" t="s">
        <v>51</v>
      </c>
      <c r="C717" s="16">
        <v>2024</v>
      </c>
      <c r="D717" s="16" t="s">
        <v>41</v>
      </c>
      <c r="E717" s="16" t="s">
        <v>34</v>
      </c>
      <c r="F717" s="16" t="s">
        <v>36</v>
      </c>
      <c r="G717" s="16">
        <v>22</v>
      </c>
      <c r="H717" s="16">
        <v>2992</v>
      </c>
      <c r="I717" s="16">
        <v>898.3</v>
      </c>
      <c r="J717" s="19">
        <v>0.55900000000000005</v>
      </c>
      <c r="K717" s="16">
        <v>80.900000000000006</v>
      </c>
      <c r="L717" s="19">
        <v>0.88500000000000001</v>
      </c>
      <c r="M717" s="19">
        <v>2.3E-2</v>
      </c>
      <c r="N717" s="21">
        <v>32996.300000000003</v>
      </c>
      <c r="O717" s="21">
        <v>24536.04</v>
      </c>
      <c r="P717" s="26">
        <v>8460.26</v>
      </c>
    </row>
    <row r="718" spans="1:16" x14ac:dyDescent="0.3">
      <c r="A718" s="25">
        <v>717</v>
      </c>
      <c r="B718" s="16" t="s">
        <v>51</v>
      </c>
      <c r="C718" s="16">
        <v>2024</v>
      </c>
      <c r="D718" s="16" t="s">
        <v>41</v>
      </c>
      <c r="E718" s="16" t="s">
        <v>32</v>
      </c>
      <c r="F718" s="16" t="s">
        <v>37</v>
      </c>
      <c r="G718" s="16">
        <v>54</v>
      </c>
      <c r="H718" s="16">
        <v>8553</v>
      </c>
      <c r="I718" s="16">
        <v>601.79999999999995</v>
      </c>
      <c r="J718" s="19">
        <v>0.67800000000000005</v>
      </c>
      <c r="K718" s="16">
        <v>88.5</v>
      </c>
      <c r="L718" s="19">
        <v>0.92200000000000004</v>
      </c>
      <c r="M718" s="19">
        <v>4.1000000000000002E-2</v>
      </c>
      <c r="N718" s="21">
        <v>89999.42</v>
      </c>
      <c r="O718" s="21">
        <v>57302.58</v>
      </c>
      <c r="P718" s="26">
        <v>32696.84</v>
      </c>
    </row>
    <row r="719" spans="1:16" x14ac:dyDescent="0.3">
      <c r="A719" s="25">
        <v>718</v>
      </c>
      <c r="B719" s="16" t="s">
        <v>51</v>
      </c>
      <c r="C719" s="16">
        <v>2024</v>
      </c>
      <c r="D719" s="16" t="s">
        <v>41</v>
      </c>
      <c r="E719" s="16" t="s">
        <v>27</v>
      </c>
      <c r="F719" s="16" t="s">
        <v>37</v>
      </c>
      <c r="G719" s="16">
        <v>51</v>
      </c>
      <c r="H719" s="16">
        <v>8310</v>
      </c>
      <c r="I719" s="16">
        <v>664.6</v>
      </c>
      <c r="J719" s="19">
        <v>0.69399999999999995</v>
      </c>
      <c r="K719" s="16">
        <v>82.8</v>
      </c>
      <c r="L719" s="19">
        <v>0.89</v>
      </c>
      <c r="M719" s="19">
        <v>1.7000000000000001E-2</v>
      </c>
      <c r="N719" s="21">
        <v>80960.17</v>
      </c>
      <c r="O719" s="21">
        <v>59801.75</v>
      </c>
      <c r="P719" s="26">
        <v>21158.42</v>
      </c>
    </row>
    <row r="720" spans="1:16" x14ac:dyDescent="0.3">
      <c r="A720" s="25">
        <v>719</v>
      </c>
      <c r="B720" s="16" t="s">
        <v>51</v>
      </c>
      <c r="C720" s="16">
        <v>2024</v>
      </c>
      <c r="D720" s="16" t="s">
        <v>41</v>
      </c>
      <c r="E720" s="16" t="s">
        <v>31</v>
      </c>
      <c r="F720" s="16" t="s">
        <v>37</v>
      </c>
      <c r="G720" s="16">
        <v>28</v>
      </c>
      <c r="H720" s="16">
        <v>3955</v>
      </c>
      <c r="I720" s="16">
        <v>634.4</v>
      </c>
      <c r="J720" s="19">
        <v>0.69899999999999995</v>
      </c>
      <c r="K720" s="16">
        <v>77.8</v>
      </c>
      <c r="L720" s="19">
        <v>0.89700000000000002</v>
      </c>
      <c r="M720" s="19">
        <v>0.04</v>
      </c>
      <c r="N720" s="21">
        <v>46946.89</v>
      </c>
      <c r="O720" s="21">
        <v>29269.52</v>
      </c>
      <c r="P720" s="26">
        <v>17677.37</v>
      </c>
    </row>
    <row r="721" spans="1:16" x14ac:dyDescent="0.3">
      <c r="A721" s="25">
        <v>720</v>
      </c>
      <c r="B721" s="16" t="s">
        <v>52</v>
      </c>
      <c r="C721" s="16">
        <v>2024</v>
      </c>
      <c r="D721" s="16" t="s">
        <v>26</v>
      </c>
      <c r="E721" s="16" t="s">
        <v>31</v>
      </c>
      <c r="F721" s="16" t="s">
        <v>28</v>
      </c>
      <c r="G721" s="16">
        <v>47</v>
      </c>
      <c r="H721" s="16">
        <v>8925</v>
      </c>
      <c r="I721" s="16">
        <v>367.5</v>
      </c>
      <c r="J721" s="19">
        <v>0.80400000000000005</v>
      </c>
      <c r="K721" s="16">
        <v>78</v>
      </c>
      <c r="L721" s="19">
        <v>0.85199999999999998</v>
      </c>
      <c r="M721" s="19">
        <v>3.3000000000000002E-2</v>
      </c>
      <c r="N721" s="21">
        <v>56500.160000000003</v>
      </c>
      <c r="O721" s="21">
        <v>39725.93</v>
      </c>
      <c r="P721" s="26">
        <v>16774.23</v>
      </c>
    </row>
    <row r="722" spans="1:16" x14ac:dyDescent="0.3">
      <c r="A722" s="25">
        <v>721</v>
      </c>
      <c r="B722" s="16" t="s">
        <v>52</v>
      </c>
      <c r="C722" s="16">
        <v>2024</v>
      </c>
      <c r="D722" s="16" t="s">
        <v>26</v>
      </c>
      <c r="E722" s="16" t="s">
        <v>35</v>
      </c>
      <c r="F722" s="16" t="s">
        <v>28</v>
      </c>
      <c r="G722" s="16">
        <v>61</v>
      </c>
      <c r="H722" s="16">
        <v>10360</v>
      </c>
      <c r="I722" s="16">
        <v>355.7</v>
      </c>
      <c r="J722" s="19">
        <v>0.80400000000000005</v>
      </c>
      <c r="K722" s="16">
        <v>87.4</v>
      </c>
      <c r="L722" s="19">
        <v>0.95799999999999996</v>
      </c>
      <c r="M722" s="19">
        <v>2.9000000000000001E-2</v>
      </c>
      <c r="N722" s="21">
        <v>89288.18</v>
      </c>
      <c r="O722" s="21">
        <v>61863.4</v>
      </c>
      <c r="P722" s="26">
        <v>27424.78</v>
      </c>
    </row>
    <row r="723" spans="1:16" x14ac:dyDescent="0.3">
      <c r="A723" s="25">
        <v>722</v>
      </c>
      <c r="B723" s="16" t="s">
        <v>52</v>
      </c>
      <c r="C723" s="16">
        <v>2024</v>
      </c>
      <c r="D723" s="16" t="s">
        <v>26</v>
      </c>
      <c r="E723" s="16" t="s">
        <v>32</v>
      </c>
      <c r="F723" s="16" t="s">
        <v>29</v>
      </c>
      <c r="G723" s="16">
        <v>28</v>
      </c>
      <c r="H723" s="16">
        <v>4277</v>
      </c>
      <c r="I723" s="16">
        <v>357.4</v>
      </c>
      <c r="J723" s="19">
        <v>0.54</v>
      </c>
      <c r="K723" s="16">
        <v>68.7</v>
      </c>
      <c r="L723" s="19">
        <v>0.873</v>
      </c>
      <c r="M723" s="19">
        <v>3.9E-2</v>
      </c>
      <c r="N723" s="21">
        <v>28499.22</v>
      </c>
      <c r="O723" s="21">
        <v>19096.87</v>
      </c>
      <c r="P723" s="26">
        <v>9402.35</v>
      </c>
    </row>
    <row r="724" spans="1:16" x14ac:dyDescent="0.3">
      <c r="A724" s="25">
        <v>723</v>
      </c>
      <c r="B724" s="16" t="s">
        <v>52</v>
      </c>
      <c r="C724" s="16">
        <v>2024</v>
      </c>
      <c r="D724" s="16" t="s">
        <v>26</v>
      </c>
      <c r="E724" s="16" t="s">
        <v>27</v>
      </c>
      <c r="F724" s="16" t="s">
        <v>29</v>
      </c>
      <c r="G724" s="16">
        <v>16</v>
      </c>
      <c r="H724" s="16">
        <v>3214</v>
      </c>
      <c r="I724" s="16">
        <v>260.10000000000002</v>
      </c>
      <c r="J724" s="19">
        <v>0.58599999999999997</v>
      </c>
      <c r="K724" s="16">
        <v>84.5</v>
      </c>
      <c r="L724" s="19">
        <v>0.89600000000000002</v>
      </c>
      <c r="M724" s="19">
        <v>3.4000000000000002E-2</v>
      </c>
      <c r="N724" s="21">
        <v>18291.669999999998</v>
      </c>
      <c r="O724" s="21">
        <v>12492.05</v>
      </c>
      <c r="P724" s="26">
        <v>5799.62</v>
      </c>
    </row>
    <row r="725" spans="1:16" x14ac:dyDescent="0.3">
      <c r="A725" s="25">
        <v>724</v>
      </c>
      <c r="B725" s="16" t="s">
        <v>52</v>
      </c>
      <c r="C725" s="16">
        <v>2024</v>
      </c>
      <c r="D725" s="16" t="s">
        <v>26</v>
      </c>
      <c r="E725" s="16" t="s">
        <v>30</v>
      </c>
      <c r="F725" s="16" t="s">
        <v>29</v>
      </c>
      <c r="G725" s="16">
        <v>67</v>
      </c>
      <c r="H725" s="16">
        <v>7858</v>
      </c>
      <c r="I725" s="16">
        <v>330.4</v>
      </c>
      <c r="J725" s="19">
        <v>0.6</v>
      </c>
      <c r="K725" s="16">
        <v>85.9</v>
      </c>
      <c r="L725" s="19">
        <v>0.86</v>
      </c>
      <c r="M725" s="19">
        <v>3.9E-2</v>
      </c>
      <c r="N725" s="21">
        <v>79525.08</v>
      </c>
      <c r="O725" s="21">
        <v>58411.31</v>
      </c>
      <c r="P725" s="26">
        <v>21113.77</v>
      </c>
    </row>
    <row r="726" spans="1:16" x14ac:dyDescent="0.3">
      <c r="A726" s="25">
        <v>725</v>
      </c>
      <c r="B726" s="16" t="s">
        <v>52</v>
      </c>
      <c r="C726" s="16">
        <v>2024</v>
      </c>
      <c r="D726" s="16" t="s">
        <v>26</v>
      </c>
      <c r="E726" s="16" t="s">
        <v>34</v>
      </c>
      <c r="F726" s="16" t="s">
        <v>29</v>
      </c>
      <c r="G726" s="16">
        <v>29</v>
      </c>
      <c r="H726" s="16">
        <v>4359</v>
      </c>
      <c r="I726" s="16">
        <v>299.8</v>
      </c>
      <c r="J726" s="19">
        <v>0.64800000000000002</v>
      </c>
      <c r="K726" s="16">
        <v>82.7</v>
      </c>
      <c r="L726" s="19">
        <v>0.92</v>
      </c>
      <c r="M726" s="19">
        <v>1.7999999999999999E-2</v>
      </c>
      <c r="N726" s="21">
        <v>31933.88</v>
      </c>
      <c r="O726" s="21">
        <v>21115.99</v>
      </c>
      <c r="P726" s="26">
        <v>10817.89</v>
      </c>
    </row>
    <row r="727" spans="1:16" x14ac:dyDescent="0.3">
      <c r="A727" s="25">
        <v>726</v>
      </c>
      <c r="B727" s="16" t="s">
        <v>52</v>
      </c>
      <c r="C727" s="16">
        <v>2024</v>
      </c>
      <c r="D727" s="16" t="s">
        <v>26</v>
      </c>
      <c r="E727" s="16" t="s">
        <v>31</v>
      </c>
      <c r="F727" s="16" t="s">
        <v>33</v>
      </c>
      <c r="G727" s="16">
        <v>41</v>
      </c>
      <c r="H727" s="16">
        <v>7824</v>
      </c>
      <c r="I727" s="16">
        <v>519.79999999999995</v>
      </c>
      <c r="J727" s="19">
        <v>0.79400000000000004</v>
      </c>
      <c r="K727" s="16">
        <v>81.5</v>
      </c>
      <c r="L727" s="19">
        <v>0.88600000000000001</v>
      </c>
      <c r="M727" s="19">
        <v>4.2999999999999997E-2</v>
      </c>
      <c r="N727" s="21">
        <v>52828.65</v>
      </c>
      <c r="O727" s="21">
        <v>33923.42</v>
      </c>
      <c r="P727" s="26">
        <v>18905.23</v>
      </c>
    </row>
    <row r="728" spans="1:16" x14ac:dyDescent="0.3">
      <c r="A728" s="25">
        <v>727</v>
      </c>
      <c r="B728" s="16" t="s">
        <v>52</v>
      </c>
      <c r="C728" s="16">
        <v>2024</v>
      </c>
      <c r="D728" s="16" t="s">
        <v>26</v>
      </c>
      <c r="E728" s="16" t="s">
        <v>35</v>
      </c>
      <c r="F728" s="16" t="s">
        <v>33</v>
      </c>
      <c r="G728" s="16">
        <v>67</v>
      </c>
      <c r="H728" s="16">
        <v>10505</v>
      </c>
      <c r="I728" s="16">
        <v>504.7</v>
      </c>
      <c r="J728" s="19">
        <v>0.82699999999999996</v>
      </c>
      <c r="K728" s="16">
        <v>89.2</v>
      </c>
      <c r="L728" s="19">
        <v>0.92700000000000005</v>
      </c>
      <c r="M728" s="19">
        <v>2.4E-2</v>
      </c>
      <c r="N728" s="21">
        <v>101995.39</v>
      </c>
      <c r="O728" s="21">
        <v>67567.78</v>
      </c>
      <c r="P728" s="26">
        <v>34427.61</v>
      </c>
    </row>
    <row r="729" spans="1:16" x14ac:dyDescent="0.3">
      <c r="A729" s="25">
        <v>728</v>
      </c>
      <c r="B729" s="16" t="s">
        <v>52</v>
      </c>
      <c r="C729" s="16">
        <v>2024</v>
      </c>
      <c r="D729" s="16" t="s">
        <v>26</v>
      </c>
      <c r="E729" s="16" t="s">
        <v>32</v>
      </c>
      <c r="F729" s="16" t="s">
        <v>36</v>
      </c>
      <c r="G729" s="16">
        <v>35</v>
      </c>
      <c r="H729" s="16">
        <v>6296</v>
      </c>
      <c r="I729" s="16">
        <v>869.5</v>
      </c>
      <c r="J729" s="19">
        <v>0.68200000000000005</v>
      </c>
      <c r="K729" s="16">
        <v>90.9</v>
      </c>
      <c r="L729" s="19">
        <v>0.85599999999999998</v>
      </c>
      <c r="M729" s="19">
        <v>3.7999999999999999E-2</v>
      </c>
      <c r="N729" s="21">
        <v>36611.370000000003</v>
      </c>
      <c r="O729" s="21">
        <v>24120.83</v>
      </c>
      <c r="P729" s="26">
        <v>12490.54</v>
      </c>
    </row>
    <row r="730" spans="1:16" x14ac:dyDescent="0.3">
      <c r="A730" s="25">
        <v>729</v>
      </c>
      <c r="B730" s="16" t="s">
        <v>52</v>
      </c>
      <c r="C730" s="16">
        <v>2024</v>
      </c>
      <c r="D730" s="16" t="s">
        <v>26</v>
      </c>
      <c r="E730" s="16" t="s">
        <v>27</v>
      </c>
      <c r="F730" s="16" t="s">
        <v>36</v>
      </c>
      <c r="G730" s="16">
        <v>49</v>
      </c>
      <c r="H730" s="16">
        <v>6533</v>
      </c>
      <c r="I730" s="16">
        <v>890.1</v>
      </c>
      <c r="J730" s="19">
        <v>0.72</v>
      </c>
      <c r="K730" s="16">
        <v>89.5</v>
      </c>
      <c r="L730" s="19">
        <v>0.85699999999999998</v>
      </c>
      <c r="M730" s="19">
        <v>4.4999999999999998E-2</v>
      </c>
      <c r="N730" s="21">
        <v>70193.45</v>
      </c>
      <c r="O730" s="21">
        <v>45492.39</v>
      </c>
      <c r="P730" s="26">
        <v>24701.06</v>
      </c>
    </row>
    <row r="731" spans="1:16" x14ac:dyDescent="0.3">
      <c r="A731" s="25">
        <v>730</v>
      </c>
      <c r="B731" s="16" t="s">
        <v>52</v>
      </c>
      <c r="C731" s="16">
        <v>2024</v>
      </c>
      <c r="D731" s="16" t="s">
        <v>26</v>
      </c>
      <c r="E731" s="16" t="s">
        <v>34</v>
      </c>
      <c r="F731" s="16" t="s">
        <v>36</v>
      </c>
      <c r="G731" s="16">
        <v>78</v>
      </c>
      <c r="H731" s="16">
        <v>9263</v>
      </c>
      <c r="I731" s="16">
        <v>838.1</v>
      </c>
      <c r="J731" s="19">
        <v>0.77900000000000003</v>
      </c>
      <c r="K731" s="16">
        <v>90.9</v>
      </c>
      <c r="L731" s="19">
        <v>0.90400000000000003</v>
      </c>
      <c r="M731" s="19">
        <v>2.9000000000000001E-2</v>
      </c>
      <c r="N731" s="21">
        <v>111772.72</v>
      </c>
      <c r="O731" s="21">
        <v>83040.87</v>
      </c>
      <c r="P731" s="26">
        <v>28731.85</v>
      </c>
    </row>
    <row r="732" spans="1:16" x14ac:dyDescent="0.3">
      <c r="A732" s="25">
        <v>731</v>
      </c>
      <c r="B732" s="16" t="s">
        <v>52</v>
      </c>
      <c r="C732" s="16">
        <v>2024</v>
      </c>
      <c r="D732" s="16" t="s">
        <v>38</v>
      </c>
      <c r="E732" s="16" t="s">
        <v>27</v>
      </c>
      <c r="F732" s="16" t="s">
        <v>28</v>
      </c>
      <c r="G732" s="16">
        <v>48</v>
      </c>
      <c r="H732" s="16">
        <v>8270</v>
      </c>
      <c r="I732" s="16">
        <v>448.4</v>
      </c>
      <c r="J732" s="19">
        <v>0.77200000000000002</v>
      </c>
      <c r="K732" s="16">
        <v>80.8</v>
      </c>
      <c r="L732" s="19">
        <v>0.92300000000000004</v>
      </c>
      <c r="M732" s="19">
        <v>4.8000000000000001E-2</v>
      </c>
      <c r="N732" s="21">
        <v>60396.24</v>
      </c>
      <c r="O732" s="21">
        <v>42856.04</v>
      </c>
      <c r="P732" s="26">
        <v>17540.2</v>
      </c>
    </row>
    <row r="733" spans="1:16" x14ac:dyDescent="0.3">
      <c r="A733" s="25">
        <v>732</v>
      </c>
      <c r="B733" s="16" t="s">
        <v>52</v>
      </c>
      <c r="C733" s="16">
        <v>2024</v>
      </c>
      <c r="D733" s="16" t="s">
        <v>38</v>
      </c>
      <c r="E733" s="16" t="s">
        <v>30</v>
      </c>
      <c r="F733" s="16" t="s">
        <v>28</v>
      </c>
      <c r="G733" s="16">
        <v>55</v>
      </c>
      <c r="H733" s="16">
        <v>10331</v>
      </c>
      <c r="I733" s="16">
        <v>420.9</v>
      </c>
      <c r="J733" s="19">
        <v>0.79900000000000004</v>
      </c>
      <c r="K733" s="16">
        <v>88.1</v>
      </c>
      <c r="L733" s="19">
        <v>0.90300000000000002</v>
      </c>
      <c r="M733" s="19">
        <v>3.5000000000000003E-2</v>
      </c>
      <c r="N733" s="21">
        <v>81154.649999999994</v>
      </c>
      <c r="O733" s="21">
        <v>58055.18</v>
      </c>
      <c r="P733" s="26">
        <v>23099.47</v>
      </c>
    </row>
    <row r="734" spans="1:16" x14ac:dyDescent="0.3">
      <c r="A734" s="25">
        <v>733</v>
      </c>
      <c r="B734" s="16" t="s">
        <v>52</v>
      </c>
      <c r="C734" s="16">
        <v>2024</v>
      </c>
      <c r="D734" s="16" t="s">
        <v>38</v>
      </c>
      <c r="E734" s="16" t="s">
        <v>32</v>
      </c>
      <c r="F734" s="16" t="s">
        <v>29</v>
      </c>
      <c r="G734" s="16">
        <v>57</v>
      </c>
      <c r="H734" s="16">
        <v>10412</v>
      </c>
      <c r="I734" s="16">
        <v>298.89999999999998</v>
      </c>
      <c r="J734" s="19">
        <v>0.56499999999999995</v>
      </c>
      <c r="K734" s="16">
        <v>80.400000000000006</v>
      </c>
      <c r="L734" s="19">
        <v>0.99199999999999999</v>
      </c>
      <c r="M734" s="19">
        <v>5.7000000000000002E-2</v>
      </c>
      <c r="N734" s="21">
        <v>66905.240000000005</v>
      </c>
      <c r="O734" s="21">
        <v>48559.99</v>
      </c>
      <c r="P734" s="26">
        <v>18345.25</v>
      </c>
    </row>
    <row r="735" spans="1:16" x14ac:dyDescent="0.3">
      <c r="A735" s="25">
        <v>734</v>
      </c>
      <c r="B735" s="16" t="s">
        <v>52</v>
      </c>
      <c r="C735" s="16">
        <v>2024</v>
      </c>
      <c r="D735" s="16" t="s">
        <v>38</v>
      </c>
      <c r="E735" s="16" t="s">
        <v>30</v>
      </c>
      <c r="F735" s="16" t="s">
        <v>29</v>
      </c>
      <c r="G735" s="16">
        <v>40</v>
      </c>
      <c r="H735" s="16">
        <v>6755</v>
      </c>
      <c r="I735" s="16">
        <v>332.6</v>
      </c>
      <c r="J735" s="19">
        <v>0.68600000000000005</v>
      </c>
      <c r="K735" s="16">
        <v>86.2</v>
      </c>
      <c r="L735" s="19">
        <v>0.88600000000000001</v>
      </c>
      <c r="M735" s="19">
        <v>3.2000000000000001E-2</v>
      </c>
      <c r="N735" s="21">
        <v>45394.27</v>
      </c>
      <c r="O735" s="21">
        <v>34303.339999999997</v>
      </c>
      <c r="P735" s="26">
        <v>11090.93</v>
      </c>
    </row>
    <row r="736" spans="1:16" x14ac:dyDescent="0.3">
      <c r="A736" s="25">
        <v>735</v>
      </c>
      <c r="B736" s="16" t="s">
        <v>52</v>
      </c>
      <c r="C736" s="16">
        <v>2024</v>
      </c>
      <c r="D736" s="16" t="s">
        <v>38</v>
      </c>
      <c r="E736" s="16" t="s">
        <v>31</v>
      </c>
      <c r="F736" s="16" t="s">
        <v>29</v>
      </c>
      <c r="G736" s="16">
        <v>78</v>
      </c>
      <c r="H736" s="16">
        <v>12569</v>
      </c>
      <c r="I736" s="16">
        <v>342.9</v>
      </c>
      <c r="J736" s="19">
        <v>0.66300000000000003</v>
      </c>
      <c r="K736" s="16">
        <v>76.900000000000006</v>
      </c>
      <c r="L736" s="19">
        <v>0.78500000000000003</v>
      </c>
      <c r="M736" s="19">
        <v>4.2000000000000003E-2</v>
      </c>
      <c r="N736" s="21">
        <v>108470.97</v>
      </c>
      <c r="O736" s="21">
        <v>69941.070000000007</v>
      </c>
      <c r="P736" s="26">
        <v>38529.9</v>
      </c>
    </row>
    <row r="737" spans="1:16" x14ac:dyDescent="0.3">
      <c r="A737" s="25">
        <v>736</v>
      </c>
      <c r="B737" s="16" t="s">
        <v>52</v>
      </c>
      <c r="C737" s="16">
        <v>2024</v>
      </c>
      <c r="D737" s="16" t="s">
        <v>38</v>
      </c>
      <c r="E737" s="16" t="s">
        <v>35</v>
      </c>
      <c r="F737" s="16" t="s">
        <v>29</v>
      </c>
      <c r="G737" s="16">
        <v>56</v>
      </c>
      <c r="H737" s="16">
        <v>9002</v>
      </c>
      <c r="I737" s="16">
        <v>324.3</v>
      </c>
      <c r="J737" s="19">
        <v>0.70799999999999996</v>
      </c>
      <c r="K737" s="16">
        <v>78.3</v>
      </c>
      <c r="L737" s="19">
        <v>0.79700000000000004</v>
      </c>
      <c r="M737" s="19">
        <v>3.4000000000000002E-2</v>
      </c>
      <c r="N737" s="21">
        <v>75737.039999999994</v>
      </c>
      <c r="O737" s="21">
        <v>49500.09</v>
      </c>
      <c r="P737" s="26">
        <v>26236.95</v>
      </c>
    </row>
    <row r="738" spans="1:16" x14ac:dyDescent="0.3">
      <c r="A738" s="25">
        <v>737</v>
      </c>
      <c r="B738" s="16" t="s">
        <v>52</v>
      </c>
      <c r="C738" s="16">
        <v>2024</v>
      </c>
      <c r="D738" s="16" t="s">
        <v>38</v>
      </c>
      <c r="E738" s="16" t="s">
        <v>32</v>
      </c>
      <c r="F738" s="16" t="s">
        <v>33</v>
      </c>
      <c r="G738" s="16">
        <v>66</v>
      </c>
      <c r="H738" s="16">
        <v>9474</v>
      </c>
      <c r="I738" s="16">
        <v>395.9</v>
      </c>
      <c r="J738" s="19">
        <v>0.83</v>
      </c>
      <c r="K738" s="16">
        <v>76.099999999999994</v>
      </c>
      <c r="L738" s="19">
        <v>0.94299999999999995</v>
      </c>
      <c r="M738" s="19">
        <v>5.1999999999999998E-2</v>
      </c>
      <c r="N738" s="21">
        <v>102707.18</v>
      </c>
      <c r="O738" s="21">
        <v>76888.81</v>
      </c>
      <c r="P738" s="26">
        <v>25818.37</v>
      </c>
    </row>
    <row r="739" spans="1:16" x14ac:dyDescent="0.3">
      <c r="A739" s="25">
        <v>738</v>
      </c>
      <c r="B739" s="16" t="s">
        <v>52</v>
      </c>
      <c r="C739" s="16">
        <v>2024</v>
      </c>
      <c r="D739" s="16" t="s">
        <v>38</v>
      </c>
      <c r="E739" s="16" t="s">
        <v>34</v>
      </c>
      <c r="F739" s="16" t="s">
        <v>33</v>
      </c>
      <c r="G739" s="16">
        <v>59</v>
      </c>
      <c r="H739" s="16">
        <v>10538</v>
      </c>
      <c r="I739" s="16">
        <v>491.7</v>
      </c>
      <c r="J739" s="19">
        <v>0.70799999999999996</v>
      </c>
      <c r="K739" s="16">
        <v>90.7</v>
      </c>
      <c r="L739" s="19">
        <v>0.83899999999999997</v>
      </c>
      <c r="M739" s="19">
        <v>4.7E-2</v>
      </c>
      <c r="N739" s="21">
        <v>74549.91</v>
      </c>
      <c r="O739" s="21">
        <v>52881.35</v>
      </c>
      <c r="P739" s="26">
        <v>21668.560000000001</v>
      </c>
    </row>
    <row r="740" spans="1:16" x14ac:dyDescent="0.3">
      <c r="A740" s="25">
        <v>739</v>
      </c>
      <c r="B740" s="16" t="s">
        <v>52</v>
      </c>
      <c r="C740" s="16">
        <v>2024</v>
      </c>
      <c r="D740" s="16" t="s">
        <v>38</v>
      </c>
      <c r="E740" s="16" t="s">
        <v>31</v>
      </c>
      <c r="F740" s="16" t="s">
        <v>33</v>
      </c>
      <c r="G740" s="16">
        <v>61</v>
      </c>
      <c r="H740" s="16">
        <v>9343</v>
      </c>
      <c r="I740" s="16">
        <v>440</v>
      </c>
      <c r="J740" s="19">
        <v>0.872</v>
      </c>
      <c r="K740" s="16">
        <v>77.599999999999994</v>
      </c>
      <c r="L740" s="19">
        <v>0.91700000000000004</v>
      </c>
      <c r="M740" s="19">
        <v>3.6999999999999998E-2</v>
      </c>
      <c r="N740" s="21">
        <v>107023.86</v>
      </c>
      <c r="O740" s="21">
        <v>76870.37</v>
      </c>
      <c r="P740" s="26">
        <v>30153.49</v>
      </c>
    </row>
    <row r="741" spans="1:16" x14ac:dyDescent="0.3">
      <c r="A741" s="25">
        <v>740</v>
      </c>
      <c r="B741" s="16" t="s">
        <v>52</v>
      </c>
      <c r="C741" s="16">
        <v>2024</v>
      </c>
      <c r="D741" s="16" t="s">
        <v>38</v>
      </c>
      <c r="E741" s="16" t="s">
        <v>30</v>
      </c>
      <c r="F741" s="16" t="s">
        <v>36</v>
      </c>
      <c r="G741" s="16">
        <v>35</v>
      </c>
      <c r="H741" s="16">
        <v>5371</v>
      </c>
      <c r="I741" s="16">
        <v>980.1</v>
      </c>
      <c r="J741" s="19">
        <v>0.68200000000000005</v>
      </c>
      <c r="K741" s="16">
        <v>86.8</v>
      </c>
      <c r="L741" s="19">
        <v>0.84</v>
      </c>
      <c r="M741" s="19">
        <v>4.7E-2</v>
      </c>
      <c r="N741" s="21">
        <v>40059.730000000003</v>
      </c>
      <c r="O741" s="21">
        <v>26957.87</v>
      </c>
      <c r="P741" s="26">
        <v>13101.86</v>
      </c>
    </row>
    <row r="742" spans="1:16" x14ac:dyDescent="0.3">
      <c r="A742" s="25">
        <v>741</v>
      </c>
      <c r="B742" s="16" t="s">
        <v>52</v>
      </c>
      <c r="C742" s="16">
        <v>2024</v>
      </c>
      <c r="D742" s="16" t="s">
        <v>38</v>
      </c>
      <c r="E742" s="16" t="s">
        <v>27</v>
      </c>
      <c r="F742" s="16" t="s">
        <v>37</v>
      </c>
      <c r="G742" s="16">
        <v>23</v>
      </c>
      <c r="H742" s="16">
        <v>3384</v>
      </c>
      <c r="I742" s="16">
        <v>641.6</v>
      </c>
      <c r="J742" s="19">
        <v>0.61899999999999999</v>
      </c>
      <c r="K742" s="16">
        <v>86.3</v>
      </c>
      <c r="L742" s="19">
        <v>0.83099999999999996</v>
      </c>
      <c r="M742" s="19">
        <v>0.05</v>
      </c>
      <c r="N742" s="21">
        <v>30657.69</v>
      </c>
      <c r="O742" s="21">
        <v>21892.47</v>
      </c>
      <c r="P742" s="26">
        <v>8765.2199999999993</v>
      </c>
    </row>
    <row r="743" spans="1:16" x14ac:dyDescent="0.3">
      <c r="A743" s="25">
        <v>742</v>
      </c>
      <c r="B743" s="16" t="s">
        <v>52</v>
      </c>
      <c r="C743" s="16">
        <v>2024</v>
      </c>
      <c r="D743" s="16" t="s">
        <v>38</v>
      </c>
      <c r="E743" s="16" t="s">
        <v>30</v>
      </c>
      <c r="F743" s="16" t="s">
        <v>37</v>
      </c>
      <c r="G743" s="16">
        <v>87</v>
      </c>
      <c r="H743" s="16">
        <v>12350</v>
      </c>
      <c r="I743" s="16">
        <v>773</v>
      </c>
      <c r="J743" s="19">
        <v>0.65900000000000003</v>
      </c>
      <c r="K743" s="16">
        <v>79</v>
      </c>
      <c r="L743" s="19">
        <v>0.86499999999999999</v>
      </c>
      <c r="M743" s="19">
        <v>4.4999999999999998E-2</v>
      </c>
      <c r="N743" s="21">
        <v>116093.82</v>
      </c>
      <c r="O743" s="21">
        <v>73215.78</v>
      </c>
      <c r="P743" s="26">
        <v>42878.04</v>
      </c>
    </row>
    <row r="744" spans="1:16" x14ac:dyDescent="0.3">
      <c r="A744" s="25">
        <v>743</v>
      </c>
      <c r="B744" s="16" t="s">
        <v>52</v>
      </c>
      <c r="C744" s="16">
        <v>2024</v>
      </c>
      <c r="D744" s="16" t="s">
        <v>38</v>
      </c>
      <c r="E744" s="16" t="s">
        <v>34</v>
      </c>
      <c r="F744" s="16" t="s">
        <v>37</v>
      </c>
      <c r="G744" s="16">
        <v>25</v>
      </c>
      <c r="H744" s="16">
        <v>3880</v>
      </c>
      <c r="I744" s="16">
        <v>711.4</v>
      </c>
      <c r="J744" s="19">
        <v>0.67700000000000005</v>
      </c>
      <c r="K744" s="16">
        <v>82.7</v>
      </c>
      <c r="L744" s="19">
        <v>0.97</v>
      </c>
      <c r="M744" s="19">
        <v>4.7E-2</v>
      </c>
      <c r="N744" s="21">
        <v>24952.98</v>
      </c>
      <c r="O744" s="21">
        <v>16716.509999999998</v>
      </c>
      <c r="P744" s="26">
        <v>8236.4699999999993</v>
      </c>
    </row>
    <row r="745" spans="1:16" x14ac:dyDescent="0.3">
      <c r="A745" s="25">
        <v>744</v>
      </c>
      <c r="B745" s="16" t="s">
        <v>52</v>
      </c>
      <c r="C745" s="16">
        <v>2024</v>
      </c>
      <c r="D745" s="16" t="s">
        <v>38</v>
      </c>
      <c r="E745" s="16" t="s">
        <v>31</v>
      </c>
      <c r="F745" s="16" t="s">
        <v>37</v>
      </c>
      <c r="G745" s="16">
        <v>47</v>
      </c>
      <c r="H745" s="16">
        <v>8516</v>
      </c>
      <c r="I745" s="16">
        <v>612.20000000000005</v>
      </c>
      <c r="J745" s="19">
        <v>0.61899999999999999</v>
      </c>
      <c r="K745" s="16">
        <v>72.3</v>
      </c>
      <c r="L745" s="19">
        <v>0.98</v>
      </c>
      <c r="M745" s="19">
        <v>3.6999999999999998E-2</v>
      </c>
      <c r="N745" s="21">
        <v>56091.95</v>
      </c>
      <c r="O745" s="21">
        <v>35895.39</v>
      </c>
      <c r="P745" s="26">
        <v>20196.560000000001</v>
      </c>
    </row>
    <row r="746" spans="1:16" x14ac:dyDescent="0.3">
      <c r="A746" s="25">
        <v>745</v>
      </c>
      <c r="B746" s="16" t="s">
        <v>52</v>
      </c>
      <c r="C746" s="16">
        <v>2024</v>
      </c>
      <c r="D746" s="16" t="s">
        <v>38</v>
      </c>
      <c r="E746" s="16" t="s">
        <v>35</v>
      </c>
      <c r="F746" s="16" t="s">
        <v>37</v>
      </c>
      <c r="G746" s="16">
        <v>24</v>
      </c>
      <c r="H746" s="16">
        <v>3606</v>
      </c>
      <c r="I746" s="16">
        <v>600.5</v>
      </c>
      <c r="J746" s="19">
        <v>0.61199999999999999</v>
      </c>
      <c r="K746" s="16">
        <v>83.9</v>
      </c>
      <c r="L746" s="19">
        <v>0.96699999999999997</v>
      </c>
      <c r="M746" s="19">
        <v>0.03</v>
      </c>
      <c r="N746" s="21">
        <v>28627.29</v>
      </c>
      <c r="O746" s="21">
        <v>17895.990000000002</v>
      </c>
      <c r="P746" s="26">
        <v>10731.3</v>
      </c>
    </row>
    <row r="747" spans="1:16" x14ac:dyDescent="0.3">
      <c r="A747" s="25">
        <v>746</v>
      </c>
      <c r="B747" s="16" t="s">
        <v>52</v>
      </c>
      <c r="C747" s="16">
        <v>2024</v>
      </c>
      <c r="D747" s="16" t="s">
        <v>39</v>
      </c>
      <c r="E747" s="16" t="s">
        <v>32</v>
      </c>
      <c r="F747" s="16" t="s">
        <v>28</v>
      </c>
      <c r="G747" s="16">
        <v>56</v>
      </c>
      <c r="H747" s="16">
        <v>9837</v>
      </c>
      <c r="I747" s="16">
        <v>433.4</v>
      </c>
      <c r="J747" s="19">
        <v>0.81399999999999995</v>
      </c>
      <c r="K747" s="16">
        <v>79.900000000000006</v>
      </c>
      <c r="L747" s="19">
        <v>0.88</v>
      </c>
      <c r="M747" s="19">
        <v>4.4999999999999998E-2</v>
      </c>
      <c r="N747" s="21">
        <v>89227.24</v>
      </c>
      <c r="O747" s="21">
        <v>55420.22</v>
      </c>
      <c r="P747" s="26">
        <v>33807.019999999997</v>
      </c>
    </row>
    <row r="748" spans="1:16" x14ac:dyDescent="0.3">
      <c r="A748" s="25">
        <v>747</v>
      </c>
      <c r="B748" s="16" t="s">
        <v>52</v>
      </c>
      <c r="C748" s="16">
        <v>2024</v>
      </c>
      <c r="D748" s="16" t="s">
        <v>39</v>
      </c>
      <c r="E748" s="16" t="s">
        <v>32</v>
      </c>
      <c r="F748" s="16" t="s">
        <v>29</v>
      </c>
      <c r="G748" s="16">
        <v>49</v>
      </c>
      <c r="H748" s="16">
        <v>8592</v>
      </c>
      <c r="I748" s="16">
        <v>312</v>
      </c>
      <c r="J748" s="19">
        <v>0.69499999999999995</v>
      </c>
      <c r="K748" s="16">
        <v>81.8</v>
      </c>
      <c r="L748" s="19">
        <v>0.93200000000000005</v>
      </c>
      <c r="M748" s="19">
        <v>3.6999999999999998E-2</v>
      </c>
      <c r="N748" s="21">
        <v>53092.29</v>
      </c>
      <c r="O748" s="21">
        <v>33764.410000000003</v>
      </c>
      <c r="P748" s="26">
        <v>19327.88</v>
      </c>
    </row>
    <row r="749" spans="1:16" x14ac:dyDescent="0.3">
      <c r="A749" s="25">
        <v>748</v>
      </c>
      <c r="B749" s="16" t="s">
        <v>52</v>
      </c>
      <c r="C749" s="16">
        <v>2024</v>
      </c>
      <c r="D749" s="16" t="s">
        <v>39</v>
      </c>
      <c r="E749" s="16" t="s">
        <v>27</v>
      </c>
      <c r="F749" s="16" t="s">
        <v>29</v>
      </c>
      <c r="G749" s="16">
        <v>39</v>
      </c>
      <c r="H749" s="16">
        <v>5848</v>
      </c>
      <c r="I749" s="16">
        <v>361.3</v>
      </c>
      <c r="J749" s="19">
        <v>0.67</v>
      </c>
      <c r="K749" s="16">
        <v>71.3</v>
      </c>
      <c r="L749" s="19">
        <v>0.95499999999999996</v>
      </c>
      <c r="M749" s="19">
        <v>4.5999999999999999E-2</v>
      </c>
      <c r="N749" s="21">
        <v>53447.87</v>
      </c>
      <c r="O749" s="21">
        <v>36642.559999999998</v>
      </c>
      <c r="P749" s="26">
        <v>16805.310000000001</v>
      </c>
    </row>
    <row r="750" spans="1:16" x14ac:dyDescent="0.3">
      <c r="A750" s="25">
        <v>749</v>
      </c>
      <c r="B750" s="16" t="s">
        <v>52</v>
      </c>
      <c r="C750" s="16">
        <v>2024</v>
      </c>
      <c r="D750" s="16" t="s">
        <v>39</v>
      </c>
      <c r="E750" s="16" t="s">
        <v>35</v>
      </c>
      <c r="F750" s="16" t="s">
        <v>29</v>
      </c>
      <c r="G750" s="16">
        <v>15</v>
      </c>
      <c r="H750" s="16">
        <v>2486</v>
      </c>
      <c r="I750" s="16">
        <v>242.2</v>
      </c>
      <c r="J750" s="19">
        <v>0.67700000000000005</v>
      </c>
      <c r="K750" s="16">
        <v>80.099999999999994</v>
      </c>
      <c r="L750" s="19">
        <v>0.96699999999999997</v>
      </c>
      <c r="M750" s="19">
        <v>3.1E-2</v>
      </c>
      <c r="N750" s="21">
        <v>23251.41</v>
      </c>
      <c r="O750" s="21">
        <v>16289.29</v>
      </c>
      <c r="P750" s="26">
        <v>6962.12</v>
      </c>
    </row>
    <row r="751" spans="1:16" x14ac:dyDescent="0.3">
      <c r="A751" s="25">
        <v>750</v>
      </c>
      <c r="B751" s="16" t="s">
        <v>52</v>
      </c>
      <c r="C751" s="16">
        <v>2024</v>
      </c>
      <c r="D751" s="16" t="s">
        <v>39</v>
      </c>
      <c r="E751" s="16" t="s">
        <v>32</v>
      </c>
      <c r="F751" s="16" t="s">
        <v>33</v>
      </c>
      <c r="G751" s="16">
        <v>23</v>
      </c>
      <c r="H751" s="16">
        <v>4129</v>
      </c>
      <c r="I751" s="16">
        <v>469.2</v>
      </c>
      <c r="J751" s="19">
        <v>0.65700000000000003</v>
      </c>
      <c r="K751" s="16">
        <v>89.8</v>
      </c>
      <c r="L751" s="19">
        <v>0.89800000000000002</v>
      </c>
      <c r="M751" s="19">
        <v>6.0999999999999999E-2</v>
      </c>
      <c r="N751" s="21">
        <v>40726.519999999997</v>
      </c>
      <c r="O751" s="21">
        <v>25459.38</v>
      </c>
      <c r="P751" s="26">
        <v>15267.14</v>
      </c>
    </row>
    <row r="752" spans="1:16" x14ac:dyDescent="0.3">
      <c r="A752" s="25">
        <v>751</v>
      </c>
      <c r="B752" s="16" t="s">
        <v>52</v>
      </c>
      <c r="C752" s="16">
        <v>2024</v>
      </c>
      <c r="D752" s="16" t="s">
        <v>39</v>
      </c>
      <c r="E752" s="16" t="s">
        <v>27</v>
      </c>
      <c r="F752" s="16" t="s">
        <v>33</v>
      </c>
      <c r="G752" s="16">
        <v>35</v>
      </c>
      <c r="H752" s="16">
        <v>6745</v>
      </c>
      <c r="I752" s="16">
        <v>448.8</v>
      </c>
      <c r="J752" s="19">
        <v>0.78400000000000003</v>
      </c>
      <c r="K752" s="16">
        <v>80.2</v>
      </c>
      <c r="L752" s="19">
        <v>0.96199999999999997</v>
      </c>
      <c r="M752" s="19">
        <v>3.5000000000000003E-2</v>
      </c>
      <c r="N752" s="21">
        <v>51448.09</v>
      </c>
      <c r="O752" s="21">
        <v>38712.93</v>
      </c>
      <c r="P752" s="26">
        <v>12735.16</v>
      </c>
    </row>
    <row r="753" spans="1:16" x14ac:dyDescent="0.3">
      <c r="A753" s="25">
        <v>752</v>
      </c>
      <c r="B753" s="16" t="s">
        <v>52</v>
      </c>
      <c r="C753" s="16">
        <v>2024</v>
      </c>
      <c r="D753" s="16" t="s">
        <v>39</v>
      </c>
      <c r="E753" s="16" t="s">
        <v>34</v>
      </c>
      <c r="F753" s="16" t="s">
        <v>33</v>
      </c>
      <c r="G753" s="16">
        <v>30</v>
      </c>
      <c r="H753" s="16">
        <v>5283</v>
      </c>
      <c r="I753" s="16">
        <v>487.3</v>
      </c>
      <c r="J753" s="19">
        <v>0.74299999999999999</v>
      </c>
      <c r="K753" s="16">
        <v>89.3</v>
      </c>
      <c r="L753" s="19">
        <v>0.85599999999999998</v>
      </c>
      <c r="M753" s="19">
        <v>0.03</v>
      </c>
      <c r="N753" s="21">
        <v>39567.83</v>
      </c>
      <c r="O753" s="21">
        <v>27772.83</v>
      </c>
      <c r="P753" s="26">
        <v>11795</v>
      </c>
    </row>
    <row r="754" spans="1:16" x14ac:dyDescent="0.3">
      <c r="A754" s="25">
        <v>753</v>
      </c>
      <c r="B754" s="16" t="s">
        <v>52</v>
      </c>
      <c r="C754" s="16">
        <v>2024</v>
      </c>
      <c r="D754" s="16" t="s">
        <v>39</v>
      </c>
      <c r="E754" s="16" t="s">
        <v>30</v>
      </c>
      <c r="F754" s="16" t="s">
        <v>36</v>
      </c>
      <c r="G754" s="16">
        <v>31</v>
      </c>
      <c r="H754" s="16">
        <v>4948</v>
      </c>
      <c r="I754" s="16">
        <v>868.1</v>
      </c>
      <c r="J754" s="19">
        <v>0.71299999999999997</v>
      </c>
      <c r="K754" s="16">
        <v>84.3</v>
      </c>
      <c r="L754" s="19">
        <v>0.878</v>
      </c>
      <c r="M754" s="19">
        <v>3.6999999999999998E-2</v>
      </c>
      <c r="N754" s="21">
        <v>46055.519999999997</v>
      </c>
      <c r="O754" s="21">
        <v>34605.199999999997</v>
      </c>
      <c r="P754" s="26">
        <v>11450.32</v>
      </c>
    </row>
    <row r="755" spans="1:16" x14ac:dyDescent="0.3">
      <c r="A755" s="25">
        <v>754</v>
      </c>
      <c r="B755" s="16" t="s">
        <v>52</v>
      </c>
      <c r="C755" s="16">
        <v>2024</v>
      </c>
      <c r="D755" s="16" t="s">
        <v>39</v>
      </c>
      <c r="E755" s="16" t="s">
        <v>31</v>
      </c>
      <c r="F755" s="16" t="s">
        <v>36</v>
      </c>
      <c r="G755" s="16">
        <v>69</v>
      </c>
      <c r="H755" s="16">
        <v>12293</v>
      </c>
      <c r="I755" s="16">
        <v>871.7</v>
      </c>
      <c r="J755" s="19">
        <v>0.83299999999999996</v>
      </c>
      <c r="K755" s="16">
        <v>83.6</v>
      </c>
      <c r="L755" s="19">
        <v>0.999</v>
      </c>
      <c r="M755" s="19">
        <v>3.2000000000000001E-2</v>
      </c>
      <c r="N755" s="21">
        <v>143416.07</v>
      </c>
      <c r="O755" s="21">
        <v>89648.97</v>
      </c>
      <c r="P755" s="26">
        <v>53767.1</v>
      </c>
    </row>
    <row r="756" spans="1:16" x14ac:dyDescent="0.3">
      <c r="A756" s="25">
        <v>755</v>
      </c>
      <c r="B756" s="16" t="s">
        <v>52</v>
      </c>
      <c r="C756" s="16">
        <v>2024</v>
      </c>
      <c r="D756" s="16" t="s">
        <v>39</v>
      </c>
      <c r="E756" s="16" t="s">
        <v>32</v>
      </c>
      <c r="F756" s="16" t="s">
        <v>37</v>
      </c>
      <c r="G756" s="16">
        <v>69</v>
      </c>
      <c r="H756" s="16">
        <v>9180</v>
      </c>
      <c r="I756" s="16">
        <v>687.1</v>
      </c>
      <c r="J756" s="19">
        <v>0.72</v>
      </c>
      <c r="K756" s="16">
        <v>84.8</v>
      </c>
      <c r="L756" s="19">
        <v>0.95299999999999996</v>
      </c>
      <c r="M756" s="19">
        <v>4.1000000000000002E-2</v>
      </c>
      <c r="N756" s="21">
        <v>97233.03</v>
      </c>
      <c r="O756" s="21">
        <v>64021.760000000002</v>
      </c>
      <c r="P756" s="26">
        <v>33211.269999999997</v>
      </c>
    </row>
    <row r="757" spans="1:16" x14ac:dyDescent="0.3">
      <c r="A757" s="25">
        <v>756</v>
      </c>
      <c r="B757" s="16" t="s">
        <v>52</v>
      </c>
      <c r="C757" s="16">
        <v>2024</v>
      </c>
      <c r="D757" s="16" t="s">
        <v>39</v>
      </c>
      <c r="E757" s="16" t="s">
        <v>34</v>
      </c>
      <c r="F757" s="16" t="s">
        <v>37</v>
      </c>
      <c r="G757" s="16">
        <v>23</v>
      </c>
      <c r="H757" s="16">
        <v>3476</v>
      </c>
      <c r="I757" s="16">
        <v>672.5</v>
      </c>
      <c r="J757" s="19">
        <v>0.66800000000000004</v>
      </c>
      <c r="K757" s="16">
        <v>80</v>
      </c>
      <c r="L757" s="19">
        <v>0.86899999999999999</v>
      </c>
      <c r="M757" s="19">
        <v>5.1999999999999998E-2</v>
      </c>
      <c r="N757" s="21">
        <v>41976.7</v>
      </c>
      <c r="O757" s="21">
        <v>28656.09</v>
      </c>
      <c r="P757" s="26">
        <v>13320.61</v>
      </c>
    </row>
    <row r="758" spans="1:16" x14ac:dyDescent="0.3">
      <c r="A758" s="25">
        <v>757</v>
      </c>
      <c r="B758" s="16" t="s">
        <v>52</v>
      </c>
      <c r="C758" s="16">
        <v>2024</v>
      </c>
      <c r="D758" s="16" t="s">
        <v>39</v>
      </c>
      <c r="E758" s="16" t="s">
        <v>31</v>
      </c>
      <c r="F758" s="16" t="s">
        <v>37</v>
      </c>
      <c r="G758" s="16">
        <v>41</v>
      </c>
      <c r="H758" s="16">
        <v>5733</v>
      </c>
      <c r="I758" s="16">
        <v>659</v>
      </c>
      <c r="J758" s="19">
        <v>0.55000000000000004</v>
      </c>
      <c r="K758" s="16">
        <v>85.3</v>
      </c>
      <c r="L758" s="19">
        <v>0.90300000000000002</v>
      </c>
      <c r="M758" s="19">
        <v>1.2E-2</v>
      </c>
      <c r="N758" s="21">
        <v>42076.29</v>
      </c>
      <c r="O758" s="21">
        <v>27719.31</v>
      </c>
      <c r="P758" s="26">
        <v>14356.98</v>
      </c>
    </row>
    <row r="759" spans="1:16" x14ac:dyDescent="0.3">
      <c r="A759" s="25">
        <v>758</v>
      </c>
      <c r="B759" s="16" t="s">
        <v>52</v>
      </c>
      <c r="C759" s="16">
        <v>2024</v>
      </c>
      <c r="D759" s="16" t="s">
        <v>40</v>
      </c>
      <c r="E759" s="16" t="s">
        <v>27</v>
      </c>
      <c r="F759" s="16" t="s">
        <v>28</v>
      </c>
      <c r="G759" s="16">
        <v>73</v>
      </c>
      <c r="H759" s="16">
        <v>10069</v>
      </c>
      <c r="I759" s="16">
        <v>456.6</v>
      </c>
      <c r="J759" s="19">
        <v>0.85</v>
      </c>
      <c r="K759" s="16">
        <v>71.3</v>
      </c>
      <c r="L759" s="19">
        <v>0.98899999999999999</v>
      </c>
      <c r="M759" s="19">
        <v>2.9000000000000001E-2</v>
      </c>
      <c r="N759" s="21">
        <v>93947.29</v>
      </c>
      <c r="O759" s="21">
        <v>65684.850000000006</v>
      </c>
      <c r="P759" s="26">
        <v>28262.44</v>
      </c>
    </row>
    <row r="760" spans="1:16" x14ac:dyDescent="0.3">
      <c r="A760" s="25">
        <v>759</v>
      </c>
      <c r="B760" s="16" t="s">
        <v>52</v>
      </c>
      <c r="C760" s="16">
        <v>2024</v>
      </c>
      <c r="D760" s="16" t="s">
        <v>40</v>
      </c>
      <c r="E760" s="16" t="s">
        <v>30</v>
      </c>
      <c r="F760" s="16" t="s">
        <v>28</v>
      </c>
      <c r="G760" s="16">
        <v>44</v>
      </c>
      <c r="H760" s="16">
        <v>7101</v>
      </c>
      <c r="I760" s="16">
        <v>433.7</v>
      </c>
      <c r="J760" s="19">
        <v>0.72299999999999998</v>
      </c>
      <c r="K760" s="16">
        <v>81.7</v>
      </c>
      <c r="L760" s="19">
        <v>0.91100000000000003</v>
      </c>
      <c r="M760" s="19">
        <v>3.9E-2</v>
      </c>
      <c r="N760" s="21">
        <v>64298.9</v>
      </c>
      <c r="O760" s="21">
        <v>47711.360000000001</v>
      </c>
      <c r="P760" s="26">
        <v>16587.54</v>
      </c>
    </row>
    <row r="761" spans="1:16" x14ac:dyDescent="0.3">
      <c r="A761" s="25">
        <v>760</v>
      </c>
      <c r="B761" s="16" t="s">
        <v>52</v>
      </c>
      <c r="C761" s="16">
        <v>2024</v>
      </c>
      <c r="D761" s="16" t="s">
        <v>40</v>
      </c>
      <c r="E761" s="16" t="s">
        <v>35</v>
      </c>
      <c r="F761" s="16" t="s">
        <v>29</v>
      </c>
      <c r="G761" s="16">
        <v>48</v>
      </c>
      <c r="H761" s="16">
        <v>7738</v>
      </c>
      <c r="I761" s="16">
        <v>268.8</v>
      </c>
      <c r="J761" s="19">
        <v>0.629</v>
      </c>
      <c r="K761" s="16">
        <v>84.3</v>
      </c>
      <c r="L761" s="19">
        <v>0.93300000000000005</v>
      </c>
      <c r="M761" s="19">
        <v>3.5999999999999997E-2</v>
      </c>
      <c r="N761" s="21">
        <v>71401.62</v>
      </c>
      <c r="O761" s="21">
        <v>47868.29</v>
      </c>
      <c r="P761" s="26">
        <v>23533.33</v>
      </c>
    </row>
    <row r="762" spans="1:16" x14ac:dyDescent="0.3">
      <c r="A762" s="25">
        <v>761</v>
      </c>
      <c r="B762" s="16" t="s">
        <v>52</v>
      </c>
      <c r="C762" s="16">
        <v>2024</v>
      </c>
      <c r="D762" s="16" t="s">
        <v>40</v>
      </c>
      <c r="E762" s="16" t="s">
        <v>30</v>
      </c>
      <c r="F762" s="16" t="s">
        <v>33</v>
      </c>
      <c r="G762" s="16">
        <v>72</v>
      </c>
      <c r="H762" s="16">
        <v>12094</v>
      </c>
      <c r="I762" s="16">
        <v>456.1</v>
      </c>
      <c r="J762" s="19">
        <v>0.77400000000000002</v>
      </c>
      <c r="K762" s="16">
        <v>85.5</v>
      </c>
      <c r="L762" s="19">
        <v>0.95199999999999996</v>
      </c>
      <c r="M762" s="19">
        <v>1.7999999999999999E-2</v>
      </c>
      <c r="N762" s="21">
        <v>99641.65</v>
      </c>
      <c r="O762" s="21">
        <v>69330.820000000007</v>
      </c>
      <c r="P762" s="26">
        <v>30310.83</v>
      </c>
    </row>
    <row r="763" spans="1:16" x14ac:dyDescent="0.3">
      <c r="A763" s="25">
        <v>762</v>
      </c>
      <c r="B763" s="16" t="s">
        <v>52</v>
      </c>
      <c r="C763" s="16">
        <v>2024</v>
      </c>
      <c r="D763" s="16" t="s">
        <v>40</v>
      </c>
      <c r="E763" s="16" t="s">
        <v>34</v>
      </c>
      <c r="F763" s="16" t="s">
        <v>33</v>
      </c>
      <c r="G763" s="16">
        <v>66</v>
      </c>
      <c r="H763" s="16">
        <v>11120</v>
      </c>
      <c r="I763" s="16">
        <v>519</v>
      </c>
      <c r="J763" s="19">
        <v>0.71</v>
      </c>
      <c r="K763" s="16">
        <v>86.8</v>
      </c>
      <c r="L763" s="19">
        <v>0.89200000000000002</v>
      </c>
      <c r="M763" s="19">
        <v>1.7999999999999999E-2</v>
      </c>
      <c r="N763" s="21">
        <v>72553.13</v>
      </c>
      <c r="O763" s="21">
        <v>48676.480000000003</v>
      </c>
      <c r="P763" s="26">
        <v>23876.65</v>
      </c>
    </row>
    <row r="764" spans="1:16" x14ac:dyDescent="0.3">
      <c r="A764" s="25">
        <v>763</v>
      </c>
      <c r="B764" s="16" t="s">
        <v>52</v>
      </c>
      <c r="C764" s="16">
        <v>2024</v>
      </c>
      <c r="D764" s="16" t="s">
        <v>40</v>
      </c>
      <c r="E764" s="16" t="s">
        <v>35</v>
      </c>
      <c r="F764" s="16" t="s">
        <v>33</v>
      </c>
      <c r="G764" s="16">
        <v>51</v>
      </c>
      <c r="H764" s="16">
        <v>7628</v>
      </c>
      <c r="I764" s="16">
        <v>438</v>
      </c>
      <c r="J764" s="19">
        <v>0.79100000000000004</v>
      </c>
      <c r="K764" s="16">
        <v>84.5</v>
      </c>
      <c r="L764" s="19">
        <v>0.90300000000000002</v>
      </c>
      <c r="M764" s="19">
        <v>0.03</v>
      </c>
      <c r="N764" s="21">
        <v>103159.78</v>
      </c>
      <c r="O764" s="21">
        <v>78374.759999999995</v>
      </c>
      <c r="P764" s="26">
        <v>24785.02</v>
      </c>
    </row>
    <row r="765" spans="1:16" x14ac:dyDescent="0.3">
      <c r="A765" s="25">
        <v>764</v>
      </c>
      <c r="B765" s="16" t="s">
        <v>52</v>
      </c>
      <c r="C765" s="16">
        <v>2024</v>
      </c>
      <c r="D765" s="16" t="s">
        <v>40</v>
      </c>
      <c r="E765" s="16" t="s">
        <v>27</v>
      </c>
      <c r="F765" s="16" t="s">
        <v>36</v>
      </c>
      <c r="G765" s="16">
        <v>62</v>
      </c>
      <c r="H765" s="16">
        <v>11438</v>
      </c>
      <c r="I765" s="16">
        <v>898.5</v>
      </c>
      <c r="J765" s="19">
        <v>0.66500000000000004</v>
      </c>
      <c r="K765" s="16">
        <v>75.900000000000006</v>
      </c>
      <c r="L765" s="19">
        <v>0.77</v>
      </c>
      <c r="M765" s="19">
        <v>2.5999999999999999E-2</v>
      </c>
      <c r="N765" s="21">
        <v>71469.87</v>
      </c>
      <c r="O765" s="21">
        <v>49255.14</v>
      </c>
      <c r="P765" s="26">
        <v>22214.73</v>
      </c>
    </row>
    <row r="766" spans="1:16" x14ac:dyDescent="0.3">
      <c r="A766" s="25">
        <v>765</v>
      </c>
      <c r="B766" s="16" t="s">
        <v>52</v>
      </c>
      <c r="C766" s="16">
        <v>2024</v>
      </c>
      <c r="D766" s="16" t="s">
        <v>40</v>
      </c>
      <c r="E766" s="16" t="s">
        <v>30</v>
      </c>
      <c r="F766" s="16" t="s">
        <v>36</v>
      </c>
      <c r="G766" s="16">
        <v>79</v>
      </c>
      <c r="H766" s="16">
        <v>12053</v>
      </c>
      <c r="I766" s="16">
        <v>882</v>
      </c>
      <c r="J766" s="19">
        <v>0.76400000000000001</v>
      </c>
      <c r="K766" s="16">
        <v>74.400000000000006</v>
      </c>
      <c r="L766" s="19">
        <v>0.94</v>
      </c>
      <c r="M766" s="19">
        <v>0.02</v>
      </c>
      <c r="N766" s="21">
        <v>111572.52</v>
      </c>
      <c r="O766" s="21">
        <v>83972.69</v>
      </c>
      <c r="P766" s="26">
        <v>27599.83</v>
      </c>
    </row>
    <row r="767" spans="1:16" x14ac:dyDescent="0.3">
      <c r="A767" s="25">
        <v>766</v>
      </c>
      <c r="B767" s="16" t="s">
        <v>52</v>
      </c>
      <c r="C767" s="16">
        <v>2024</v>
      </c>
      <c r="D767" s="16" t="s">
        <v>40</v>
      </c>
      <c r="E767" s="16" t="s">
        <v>27</v>
      </c>
      <c r="F767" s="16" t="s">
        <v>37</v>
      </c>
      <c r="G767" s="16">
        <v>46</v>
      </c>
      <c r="H767" s="16">
        <v>6294</v>
      </c>
      <c r="I767" s="16">
        <v>652.70000000000005</v>
      </c>
      <c r="J767" s="19">
        <v>0.80100000000000005</v>
      </c>
      <c r="K767" s="16">
        <v>78.900000000000006</v>
      </c>
      <c r="L767" s="19">
        <v>0.88800000000000001</v>
      </c>
      <c r="M767" s="19">
        <v>3.4000000000000002E-2</v>
      </c>
      <c r="N767" s="21">
        <v>70756.87</v>
      </c>
      <c r="O767" s="21">
        <v>55166.76</v>
      </c>
      <c r="P767" s="26">
        <v>15590.11</v>
      </c>
    </row>
    <row r="768" spans="1:16" x14ac:dyDescent="0.3">
      <c r="A768" s="25">
        <v>767</v>
      </c>
      <c r="B768" s="16" t="s">
        <v>52</v>
      </c>
      <c r="C768" s="16">
        <v>2024</v>
      </c>
      <c r="D768" s="16" t="s">
        <v>40</v>
      </c>
      <c r="E768" s="16" t="s">
        <v>34</v>
      </c>
      <c r="F768" s="16" t="s">
        <v>37</v>
      </c>
      <c r="G768" s="16">
        <v>42</v>
      </c>
      <c r="H768" s="16">
        <v>6956</v>
      </c>
      <c r="I768" s="16">
        <v>649.1</v>
      </c>
      <c r="J768" s="19">
        <v>0.71499999999999997</v>
      </c>
      <c r="K768" s="16">
        <v>82.4</v>
      </c>
      <c r="L768" s="19">
        <v>0.80800000000000005</v>
      </c>
      <c r="M768" s="19">
        <v>5.2999999999999999E-2</v>
      </c>
      <c r="N768" s="21">
        <v>57182.21</v>
      </c>
      <c r="O768" s="21">
        <v>41908.57</v>
      </c>
      <c r="P768" s="26">
        <v>15273.64</v>
      </c>
    </row>
    <row r="769" spans="1:16" x14ac:dyDescent="0.3">
      <c r="A769" s="25">
        <v>768</v>
      </c>
      <c r="B769" s="16" t="s">
        <v>52</v>
      </c>
      <c r="C769" s="16">
        <v>2024</v>
      </c>
      <c r="D769" s="16" t="s">
        <v>40</v>
      </c>
      <c r="E769" s="16" t="s">
        <v>35</v>
      </c>
      <c r="F769" s="16" t="s">
        <v>37</v>
      </c>
      <c r="G769" s="16">
        <v>37</v>
      </c>
      <c r="H769" s="16">
        <v>4823</v>
      </c>
      <c r="I769" s="16">
        <v>658</v>
      </c>
      <c r="J769" s="19">
        <v>0.58499999999999996</v>
      </c>
      <c r="K769" s="16">
        <v>82.9</v>
      </c>
      <c r="L769" s="19">
        <v>0.85</v>
      </c>
      <c r="M769" s="19">
        <v>4.2000000000000003E-2</v>
      </c>
      <c r="N769" s="21">
        <v>45650.239999999998</v>
      </c>
      <c r="O769" s="21">
        <v>33372.089999999997</v>
      </c>
      <c r="P769" s="26">
        <v>12278.15</v>
      </c>
    </row>
    <row r="770" spans="1:16" x14ac:dyDescent="0.3">
      <c r="A770" s="25">
        <v>769</v>
      </c>
      <c r="B770" s="16" t="s">
        <v>52</v>
      </c>
      <c r="C770" s="16">
        <v>2024</v>
      </c>
      <c r="D770" s="16" t="s">
        <v>41</v>
      </c>
      <c r="E770" s="16" t="s">
        <v>27</v>
      </c>
      <c r="F770" s="16" t="s">
        <v>28</v>
      </c>
      <c r="G770" s="16">
        <v>37</v>
      </c>
      <c r="H770" s="16">
        <v>4795</v>
      </c>
      <c r="I770" s="16">
        <v>457.1</v>
      </c>
      <c r="J770" s="19">
        <v>0.75700000000000001</v>
      </c>
      <c r="K770" s="16">
        <v>86.9</v>
      </c>
      <c r="L770" s="19">
        <v>0.92600000000000005</v>
      </c>
      <c r="M770" s="19">
        <v>0.02</v>
      </c>
      <c r="N770" s="21">
        <v>61670.79</v>
      </c>
      <c r="O770" s="21">
        <v>47166.59</v>
      </c>
      <c r="P770" s="26">
        <v>14504.2</v>
      </c>
    </row>
    <row r="771" spans="1:16" x14ac:dyDescent="0.3">
      <c r="A771" s="25">
        <v>770</v>
      </c>
      <c r="B771" s="16" t="s">
        <v>52</v>
      </c>
      <c r="C771" s="16">
        <v>2024</v>
      </c>
      <c r="D771" s="16" t="s">
        <v>41</v>
      </c>
      <c r="E771" s="16" t="s">
        <v>31</v>
      </c>
      <c r="F771" s="16" t="s">
        <v>28</v>
      </c>
      <c r="G771" s="16">
        <v>18</v>
      </c>
      <c r="H771" s="16">
        <v>3957</v>
      </c>
      <c r="I771" s="16">
        <v>489.8</v>
      </c>
      <c r="J771" s="19">
        <v>0.82299999999999995</v>
      </c>
      <c r="K771" s="16">
        <v>82.2</v>
      </c>
      <c r="L771" s="19">
        <v>0.86699999999999999</v>
      </c>
      <c r="M771" s="19">
        <v>2.9000000000000001E-2</v>
      </c>
      <c r="N771" s="21">
        <v>41721.449999999997</v>
      </c>
      <c r="O771" s="21">
        <v>26537.3</v>
      </c>
      <c r="P771" s="26">
        <v>15184.15</v>
      </c>
    </row>
    <row r="772" spans="1:16" x14ac:dyDescent="0.3">
      <c r="A772" s="25">
        <v>771</v>
      </c>
      <c r="B772" s="16" t="s">
        <v>52</v>
      </c>
      <c r="C772" s="16">
        <v>2024</v>
      </c>
      <c r="D772" s="16" t="s">
        <v>41</v>
      </c>
      <c r="E772" s="16" t="s">
        <v>35</v>
      </c>
      <c r="F772" s="16" t="s">
        <v>28</v>
      </c>
      <c r="G772" s="16">
        <v>37</v>
      </c>
      <c r="H772" s="16">
        <v>6749</v>
      </c>
      <c r="I772" s="16">
        <v>484</v>
      </c>
      <c r="J772" s="19">
        <v>0.872</v>
      </c>
      <c r="K772" s="16">
        <v>89.8</v>
      </c>
      <c r="L772" s="19">
        <v>0.70599999999999996</v>
      </c>
      <c r="M772" s="19">
        <v>2.7E-2</v>
      </c>
      <c r="N772" s="21">
        <v>79392.960000000006</v>
      </c>
      <c r="O772" s="21">
        <v>61894.93</v>
      </c>
      <c r="P772" s="26">
        <v>17498.03</v>
      </c>
    </row>
    <row r="773" spans="1:16" x14ac:dyDescent="0.3">
      <c r="A773" s="25">
        <v>772</v>
      </c>
      <c r="B773" s="16" t="s">
        <v>52</v>
      </c>
      <c r="C773" s="16">
        <v>2024</v>
      </c>
      <c r="D773" s="16" t="s">
        <v>41</v>
      </c>
      <c r="E773" s="16" t="s">
        <v>34</v>
      </c>
      <c r="F773" s="16" t="s">
        <v>29</v>
      </c>
      <c r="G773" s="16">
        <v>55</v>
      </c>
      <c r="H773" s="16">
        <v>9519</v>
      </c>
      <c r="I773" s="16">
        <v>259.5</v>
      </c>
      <c r="J773" s="19">
        <v>0.70099999999999996</v>
      </c>
      <c r="K773" s="16">
        <v>81.400000000000006</v>
      </c>
      <c r="L773" s="19">
        <v>1</v>
      </c>
      <c r="M773" s="19">
        <v>2.7E-2</v>
      </c>
      <c r="N773" s="21">
        <v>104833.87</v>
      </c>
      <c r="O773" s="21">
        <v>74144.600000000006</v>
      </c>
      <c r="P773" s="26">
        <v>30689.27</v>
      </c>
    </row>
    <row r="774" spans="1:16" x14ac:dyDescent="0.3">
      <c r="A774" s="25">
        <v>773</v>
      </c>
      <c r="B774" s="16" t="s">
        <v>52</v>
      </c>
      <c r="C774" s="16">
        <v>2024</v>
      </c>
      <c r="D774" s="16" t="s">
        <v>41</v>
      </c>
      <c r="E774" s="16" t="s">
        <v>35</v>
      </c>
      <c r="F774" s="16" t="s">
        <v>29</v>
      </c>
      <c r="G774" s="16">
        <v>78</v>
      </c>
      <c r="H774" s="16">
        <v>12604</v>
      </c>
      <c r="I774" s="16">
        <v>146.5</v>
      </c>
      <c r="J774" s="19">
        <v>0.72399999999999998</v>
      </c>
      <c r="K774" s="16">
        <v>80.3</v>
      </c>
      <c r="L774" s="19">
        <v>0.876</v>
      </c>
      <c r="M774" s="19">
        <v>2.1999999999999999E-2</v>
      </c>
      <c r="N774" s="21">
        <v>132039.96</v>
      </c>
      <c r="O774" s="21">
        <v>102420.28</v>
      </c>
      <c r="P774" s="26">
        <v>29619.68</v>
      </c>
    </row>
    <row r="775" spans="1:16" x14ac:dyDescent="0.3">
      <c r="A775" s="25">
        <v>774</v>
      </c>
      <c r="B775" s="16" t="s">
        <v>52</v>
      </c>
      <c r="C775" s="16">
        <v>2024</v>
      </c>
      <c r="D775" s="16" t="s">
        <v>41</v>
      </c>
      <c r="E775" s="16" t="s">
        <v>30</v>
      </c>
      <c r="F775" s="16" t="s">
        <v>33</v>
      </c>
      <c r="G775" s="16">
        <v>28</v>
      </c>
      <c r="H775" s="16">
        <v>4672</v>
      </c>
      <c r="I775" s="16">
        <v>504.9</v>
      </c>
      <c r="J775" s="19">
        <v>0.77800000000000002</v>
      </c>
      <c r="K775" s="16">
        <v>84.1</v>
      </c>
      <c r="L775" s="19">
        <v>0.87</v>
      </c>
      <c r="M775" s="19">
        <v>0.02</v>
      </c>
      <c r="N775" s="21">
        <v>54886.58</v>
      </c>
      <c r="O775" s="21">
        <v>37702.81</v>
      </c>
      <c r="P775" s="26">
        <v>17183.77</v>
      </c>
    </row>
    <row r="776" spans="1:16" x14ac:dyDescent="0.3">
      <c r="A776" s="25">
        <v>775</v>
      </c>
      <c r="B776" s="16" t="s">
        <v>52</v>
      </c>
      <c r="C776" s="16">
        <v>2024</v>
      </c>
      <c r="D776" s="16" t="s">
        <v>41</v>
      </c>
      <c r="E776" s="16" t="s">
        <v>34</v>
      </c>
      <c r="F776" s="16" t="s">
        <v>33</v>
      </c>
      <c r="G776" s="16">
        <v>41</v>
      </c>
      <c r="H776" s="16">
        <v>5467</v>
      </c>
      <c r="I776" s="16">
        <v>413.9</v>
      </c>
      <c r="J776" s="19">
        <v>0.79800000000000004</v>
      </c>
      <c r="K776" s="16">
        <v>90.7</v>
      </c>
      <c r="L776" s="19">
        <v>0.95499999999999996</v>
      </c>
      <c r="M776" s="19">
        <v>3.4000000000000002E-2</v>
      </c>
      <c r="N776" s="21">
        <v>74049.820000000007</v>
      </c>
      <c r="O776" s="21">
        <v>47138.06</v>
      </c>
      <c r="P776" s="26">
        <v>26911.759999999998</v>
      </c>
    </row>
    <row r="777" spans="1:16" x14ac:dyDescent="0.3">
      <c r="A777" s="25">
        <v>776</v>
      </c>
      <c r="B777" s="16" t="s">
        <v>52</v>
      </c>
      <c r="C777" s="16">
        <v>2024</v>
      </c>
      <c r="D777" s="16" t="s">
        <v>41</v>
      </c>
      <c r="E777" s="16" t="s">
        <v>31</v>
      </c>
      <c r="F777" s="16" t="s">
        <v>33</v>
      </c>
      <c r="G777" s="16">
        <v>38</v>
      </c>
      <c r="H777" s="16">
        <v>7741</v>
      </c>
      <c r="I777" s="16">
        <v>470.1</v>
      </c>
      <c r="J777" s="19">
        <v>0.78400000000000003</v>
      </c>
      <c r="K777" s="16">
        <v>88</v>
      </c>
      <c r="L777" s="19">
        <v>0.77700000000000002</v>
      </c>
      <c r="M777" s="19">
        <v>1.2E-2</v>
      </c>
      <c r="N777" s="21">
        <v>66780.679999999993</v>
      </c>
      <c r="O777" s="21">
        <v>48816.58</v>
      </c>
      <c r="P777" s="26">
        <v>17964.099999999999</v>
      </c>
    </row>
    <row r="778" spans="1:16" x14ac:dyDescent="0.3">
      <c r="A778" s="25">
        <v>777</v>
      </c>
      <c r="B778" s="16" t="s">
        <v>52</v>
      </c>
      <c r="C778" s="16">
        <v>2024</v>
      </c>
      <c r="D778" s="16" t="s">
        <v>41</v>
      </c>
      <c r="E778" s="16" t="s">
        <v>35</v>
      </c>
      <c r="F778" s="16" t="s">
        <v>33</v>
      </c>
      <c r="G778" s="16">
        <v>58</v>
      </c>
      <c r="H778" s="16">
        <v>8135</v>
      </c>
      <c r="I778" s="16">
        <v>544.6</v>
      </c>
      <c r="J778" s="19">
        <v>0.68200000000000005</v>
      </c>
      <c r="K778" s="16">
        <v>89.1</v>
      </c>
      <c r="L778" s="19">
        <v>0.89</v>
      </c>
      <c r="M778" s="19">
        <v>0.03</v>
      </c>
      <c r="N778" s="21">
        <v>118553.21</v>
      </c>
      <c r="O778" s="21">
        <v>78279.039999999994</v>
      </c>
      <c r="P778" s="26">
        <v>40274.17</v>
      </c>
    </row>
    <row r="779" spans="1:16" x14ac:dyDescent="0.3">
      <c r="A779" s="25">
        <v>778</v>
      </c>
      <c r="B779" s="16" t="s">
        <v>52</v>
      </c>
      <c r="C779" s="16">
        <v>2024</v>
      </c>
      <c r="D779" s="16" t="s">
        <v>41</v>
      </c>
      <c r="E779" s="16" t="s">
        <v>35</v>
      </c>
      <c r="F779" s="16" t="s">
        <v>36</v>
      </c>
      <c r="G779" s="16">
        <v>28</v>
      </c>
      <c r="H779" s="16">
        <v>3421</v>
      </c>
      <c r="I779" s="16">
        <v>946.8</v>
      </c>
      <c r="J779" s="19">
        <v>0.66700000000000004</v>
      </c>
      <c r="K779" s="16">
        <v>99</v>
      </c>
      <c r="L779" s="19">
        <v>0.92</v>
      </c>
      <c r="M779" s="19">
        <v>3.9E-2</v>
      </c>
      <c r="N779" s="21">
        <v>50224.92</v>
      </c>
      <c r="O779" s="21">
        <v>32201.9</v>
      </c>
      <c r="P779" s="26">
        <v>18023.02</v>
      </c>
    </row>
    <row r="780" spans="1:16" x14ac:dyDescent="0.3">
      <c r="A780" s="25">
        <v>779</v>
      </c>
      <c r="B780" s="16" t="s">
        <v>52</v>
      </c>
      <c r="C780" s="16">
        <v>2024</v>
      </c>
      <c r="D780" s="16" t="s">
        <v>41</v>
      </c>
      <c r="E780" s="16" t="s">
        <v>32</v>
      </c>
      <c r="F780" s="16" t="s">
        <v>37</v>
      </c>
      <c r="G780" s="16">
        <v>18</v>
      </c>
      <c r="H780" s="16">
        <v>2681</v>
      </c>
      <c r="I780" s="16">
        <v>659.3</v>
      </c>
      <c r="J780" s="19">
        <v>0.64100000000000001</v>
      </c>
      <c r="K780" s="16">
        <v>77.599999999999994</v>
      </c>
      <c r="L780" s="19">
        <v>0.96199999999999997</v>
      </c>
      <c r="M780" s="19">
        <v>2.3E-2</v>
      </c>
      <c r="N780" s="21">
        <v>32856.959999999999</v>
      </c>
      <c r="O780" s="21">
        <v>21658.2</v>
      </c>
      <c r="P780" s="26">
        <v>11198.76</v>
      </c>
    </row>
    <row r="781" spans="1:16" x14ac:dyDescent="0.3">
      <c r="A781" s="25">
        <v>780</v>
      </c>
      <c r="B781" s="16" t="s">
        <v>52</v>
      </c>
      <c r="C781" s="16">
        <v>2024</v>
      </c>
      <c r="D781" s="16" t="s">
        <v>41</v>
      </c>
      <c r="E781" s="16" t="s">
        <v>30</v>
      </c>
      <c r="F781" s="16" t="s">
        <v>37</v>
      </c>
      <c r="G781" s="16">
        <v>22</v>
      </c>
      <c r="H781" s="16">
        <v>3985</v>
      </c>
      <c r="I781" s="16">
        <v>638.70000000000005</v>
      </c>
      <c r="J781" s="19">
        <v>0.65700000000000003</v>
      </c>
      <c r="K781" s="16">
        <v>78.400000000000006</v>
      </c>
      <c r="L781" s="19">
        <v>1</v>
      </c>
      <c r="M781" s="19">
        <v>3.4000000000000002E-2</v>
      </c>
      <c r="N781" s="21">
        <v>40990.46</v>
      </c>
      <c r="O781" s="21">
        <v>27368.78</v>
      </c>
      <c r="P781" s="26">
        <v>13621.68</v>
      </c>
    </row>
    <row r="782" spans="1:16" x14ac:dyDescent="0.3">
      <c r="A782" s="25">
        <v>781</v>
      </c>
      <c r="B782" s="16" t="s">
        <v>53</v>
      </c>
      <c r="C782" s="16">
        <v>2025</v>
      </c>
      <c r="D782" s="16" t="s">
        <v>26</v>
      </c>
      <c r="E782" s="16" t="s">
        <v>32</v>
      </c>
      <c r="F782" s="16" t="s">
        <v>28</v>
      </c>
      <c r="G782" s="16">
        <v>66</v>
      </c>
      <c r="H782" s="16">
        <v>10456</v>
      </c>
      <c r="I782" s="16">
        <v>359.2</v>
      </c>
      <c r="J782" s="19">
        <v>0.64700000000000002</v>
      </c>
      <c r="K782" s="16">
        <v>91.2</v>
      </c>
      <c r="L782" s="19">
        <v>0.86399999999999999</v>
      </c>
      <c r="M782" s="19">
        <v>3.9E-2</v>
      </c>
      <c r="N782" s="21">
        <v>71912.23</v>
      </c>
      <c r="O782" s="21">
        <v>50983.55</v>
      </c>
      <c r="P782" s="26">
        <v>20928.68</v>
      </c>
    </row>
    <row r="783" spans="1:16" x14ac:dyDescent="0.3">
      <c r="A783" s="25">
        <v>782</v>
      </c>
      <c r="B783" s="16" t="s">
        <v>53</v>
      </c>
      <c r="C783" s="16">
        <v>2025</v>
      </c>
      <c r="D783" s="16" t="s">
        <v>26</v>
      </c>
      <c r="E783" s="16" t="s">
        <v>34</v>
      </c>
      <c r="F783" s="16" t="s">
        <v>28</v>
      </c>
      <c r="G783" s="16">
        <v>88</v>
      </c>
      <c r="H783" s="16">
        <v>14915</v>
      </c>
      <c r="I783" s="16">
        <v>486.7</v>
      </c>
      <c r="J783" s="19">
        <v>0.79800000000000004</v>
      </c>
      <c r="K783" s="16">
        <v>83.5</v>
      </c>
      <c r="L783" s="19">
        <v>0.94699999999999995</v>
      </c>
      <c r="M783" s="19">
        <v>5.6000000000000001E-2</v>
      </c>
      <c r="N783" s="21">
        <v>122939.72</v>
      </c>
      <c r="O783" s="21">
        <v>84725.56</v>
      </c>
      <c r="P783" s="26">
        <v>38214.160000000003</v>
      </c>
    </row>
    <row r="784" spans="1:16" x14ac:dyDescent="0.3">
      <c r="A784" s="25">
        <v>783</v>
      </c>
      <c r="B784" s="16" t="s">
        <v>53</v>
      </c>
      <c r="C784" s="16">
        <v>2025</v>
      </c>
      <c r="D784" s="16" t="s">
        <v>26</v>
      </c>
      <c r="E784" s="16" t="s">
        <v>35</v>
      </c>
      <c r="F784" s="16" t="s">
        <v>28</v>
      </c>
      <c r="G784" s="16">
        <v>37</v>
      </c>
      <c r="H784" s="16">
        <v>6474</v>
      </c>
      <c r="I784" s="16">
        <v>453.3</v>
      </c>
      <c r="J784" s="19">
        <v>0.82799999999999996</v>
      </c>
      <c r="K784" s="16">
        <v>74.900000000000006</v>
      </c>
      <c r="L784" s="19">
        <v>0.86199999999999999</v>
      </c>
      <c r="M784" s="19">
        <v>5.7000000000000002E-2</v>
      </c>
      <c r="N784" s="21">
        <v>48670.26</v>
      </c>
      <c r="O784" s="21">
        <v>34557.08</v>
      </c>
      <c r="P784" s="26">
        <v>14113.18</v>
      </c>
    </row>
    <row r="785" spans="1:16" x14ac:dyDescent="0.3">
      <c r="A785" s="25">
        <v>784</v>
      </c>
      <c r="B785" s="16" t="s">
        <v>53</v>
      </c>
      <c r="C785" s="16">
        <v>2025</v>
      </c>
      <c r="D785" s="16" t="s">
        <v>26</v>
      </c>
      <c r="E785" s="16" t="s">
        <v>30</v>
      </c>
      <c r="F785" s="16" t="s">
        <v>29</v>
      </c>
      <c r="G785" s="16">
        <v>63</v>
      </c>
      <c r="H785" s="16">
        <v>11877</v>
      </c>
      <c r="I785" s="16">
        <v>292.5</v>
      </c>
      <c r="J785" s="19">
        <v>0.7</v>
      </c>
      <c r="K785" s="16">
        <v>74.900000000000006</v>
      </c>
      <c r="L785" s="19">
        <v>0.77900000000000003</v>
      </c>
      <c r="M785" s="19">
        <v>3.3000000000000002E-2</v>
      </c>
      <c r="N785" s="21">
        <v>62494.79</v>
      </c>
      <c r="O785" s="21">
        <v>44503.48</v>
      </c>
      <c r="P785" s="26">
        <v>17991.310000000001</v>
      </c>
    </row>
    <row r="786" spans="1:16" x14ac:dyDescent="0.3">
      <c r="A786" s="25">
        <v>785</v>
      </c>
      <c r="B786" s="16" t="s">
        <v>53</v>
      </c>
      <c r="C786" s="16">
        <v>2025</v>
      </c>
      <c r="D786" s="16" t="s">
        <v>26</v>
      </c>
      <c r="E786" s="16" t="s">
        <v>34</v>
      </c>
      <c r="F786" s="16" t="s">
        <v>29</v>
      </c>
      <c r="G786" s="16">
        <v>50</v>
      </c>
      <c r="H786" s="16">
        <v>10387</v>
      </c>
      <c r="I786" s="16">
        <v>293.60000000000002</v>
      </c>
      <c r="J786" s="19">
        <v>0.63500000000000001</v>
      </c>
      <c r="K786" s="16">
        <v>79.3</v>
      </c>
      <c r="L786" s="19">
        <v>0.88700000000000001</v>
      </c>
      <c r="M786" s="19">
        <v>3.6999999999999998E-2</v>
      </c>
      <c r="N786" s="21">
        <v>65415.040000000001</v>
      </c>
      <c r="O786" s="21">
        <v>50275.61</v>
      </c>
      <c r="P786" s="26">
        <v>15139.43</v>
      </c>
    </row>
    <row r="787" spans="1:16" x14ac:dyDescent="0.3">
      <c r="A787" s="25">
        <v>786</v>
      </c>
      <c r="B787" s="16" t="s">
        <v>53</v>
      </c>
      <c r="C787" s="16">
        <v>2025</v>
      </c>
      <c r="D787" s="16" t="s">
        <v>26</v>
      </c>
      <c r="E787" s="16" t="s">
        <v>31</v>
      </c>
      <c r="F787" s="16" t="s">
        <v>29</v>
      </c>
      <c r="G787" s="16">
        <v>66</v>
      </c>
      <c r="H787" s="16">
        <v>11902</v>
      </c>
      <c r="I787" s="16">
        <v>261.2</v>
      </c>
      <c r="J787" s="19">
        <v>0.56899999999999995</v>
      </c>
      <c r="K787" s="16">
        <v>79.7</v>
      </c>
      <c r="L787" s="19">
        <v>0.90500000000000003</v>
      </c>
      <c r="M787" s="19">
        <v>3.5999999999999997E-2</v>
      </c>
      <c r="N787" s="21">
        <v>69232.710000000006</v>
      </c>
      <c r="O787" s="21">
        <v>48155.85</v>
      </c>
      <c r="P787" s="26">
        <v>21076.86</v>
      </c>
    </row>
    <row r="788" spans="1:16" x14ac:dyDescent="0.3">
      <c r="A788" s="25">
        <v>787</v>
      </c>
      <c r="B788" s="16" t="s">
        <v>53</v>
      </c>
      <c r="C788" s="16">
        <v>2025</v>
      </c>
      <c r="D788" s="16" t="s">
        <v>26</v>
      </c>
      <c r="E788" s="16" t="s">
        <v>35</v>
      </c>
      <c r="F788" s="16" t="s">
        <v>29</v>
      </c>
      <c r="G788" s="16">
        <v>16</v>
      </c>
      <c r="H788" s="16">
        <v>2866</v>
      </c>
      <c r="I788" s="16">
        <v>284.89999999999998</v>
      </c>
      <c r="J788" s="19">
        <v>0.66900000000000004</v>
      </c>
      <c r="K788" s="16">
        <v>81.900000000000006</v>
      </c>
      <c r="L788" s="19">
        <v>0.81</v>
      </c>
      <c r="M788" s="19">
        <v>5.0999999999999997E-2</v>
      </c>
      <c r="N788" s="21">
        <v>17335.02</v>
      </c>
      <c r="O788" s="21">
        <v>13132.26</v>
      </c>
      <c r="P788" s="26">
        <v>4202.76</v>
      </c>
    </row>
    <row r="789" spans="1:16" x14ac:dyDescent="0.3">
      <c r="A789" s="25">
        <v>788</v>
      </c>
      <c r="B789" s="16" t="s">
        <v>53</v>
      </c>
      <c r="C789" s="16">
        <v>2025</v>
      </c>
      <c r="D789" s="16" t="s">
        <v>26</v>
      </c>
      <c r="E789" s="16" t="s">
        <v>32</v>
      </c>
      <c r="F789" s="16" t="s">
        <v>33</v>
      </c>
      <c r="G789" s="16">
        <v>85</v>
      </c>
      <c r="H789" s="16">
        <v>16366</v>
      </c>
      <c r="I789" s="16">
        <v>477.7</v>
      </c>
      <c r="J789" s="19">
        <v>0.68700000000000006</v>
      </c>
      <c r="K789" s="16">
        <v>81.2</v>
      </c>
      <c r="L789" s="19">
        <v>0.93899999999999995</v>
      </c>
      <c r="M789" s="19">
        <v>3.2000000000000001E-2</v>
      </c>
      <c r="N789" s="21">
        <v>105025.12</v>
      </c>
      <c r="O789" s="21">
        <v>71900.31</v>
      </c>
      <c r="P789" s="26">
        <v>33124.81</v>
      </c>
    </row>
    <row r="790" spans="1:16" x14ac:dyDescent="0.3">
      <c r="A790" s="25">
        <v>789</v>
      </c>
      <c r="B790" s="16" t="s">
        <v>53</v>
      </c>
      <c r="C790" s="16">
        <v>2025</v>
      </c>
      <c r="D790" s="16" t="s">
        <v>26</v>
      </c>
      <c r="E790" s="16" t="s">
        <v>30</v>
      </c>
      <c r="F790" s="16" t="s">
        <v>33</v>
      </c>
      <c r="G790" s="16">
        <v>55</v>
      </c>
      <c r="H790" s="16">
        <v>10120</v>
      </c>
      <c r="I790" s="16">
        <v>484.3</v>
      </c>
      <c r="J790" s="19">
        <v>0.80500000000000005</v>
      </c>
      <c r="K790" s="16">
        <v>81.099999999999994</v>
      </c>
      <c r="L790" s="19">
        <v>0.83</v>
      </c>
      <c r="M790" s="19">
        <v>4.2000000000000003E-2</v>
      </c>
      <c r="N790" s="21">
        <v>57505.62</v>
      </c>
      <c r="O790" s="21">
        <v>40357.870000000003</v>
      </c>
      <c r="P790" s="26">
        <v>17147.75</v>
      </c>
    </row>
    <row r="791" spans="1:16" x14ac:dyDescent="0.3">
      <c r="A791" s="25">
        <v>790</v>
      </c>
      <c r="B791" s="16" t="s">
        <v>53</v>
      </c>
      <c r="C791" s="16">
        <v>2025</v>
      </c>
      <c r="D791" s="16" t="s">
        <v>26</v>
      </c>
      <c r="E791" s="16" t="s">
        <v>34</v>
      </c>
      <c r="F791" s="16" t="s">
        <v>33</v>
      </c>
      <c r="G791" s="16">
        <v>41</v>
      </c>
      <c r="H791" s="16">
        <v>6113</v>
      </c>
      <c r="I791" s="16">
        <v>513.1</v>
      </c>
      <c r="J791" s="19">
        <v>0.65</v>
      </c>
      <c r="K791" s="16">
        <v>89</v>
      </c>
      <c r="L791" s="19">
        <v>0.81299999999999994</v>
      </c>
      <c r="M791" s="19">
        <v>4.2999999999999997E-2</v>
      </c>
      <c r="N791" s="21">
        <v>47914.76</v>
      </c>
      <c r="O791" s="21">
        <v>33729.599999999999</v>
      </c>
      <c r="P791" s="26">
        <v>14185.16</v>
      </c>
    </row>
    <row r="792" spans="1:16" x14ac:dyDescent="0.3">
      <c r="A792" s="25">
        <v>791</v>
      </c>
      <c r="B792" s="16" t="s">
        <v>53</v>
      </c>
      <c r="C792" s="16">
        <v>2025</v>
      </c>
      <c r="D792" s="16" t="s">
        <v>26</v>
      </c>
      <c r="E792" s="16" t="s">
        <v>31</v>
      </c>
      <c r="F792" s="16" t="s">
        <v>33</v>
      </c>
      <c r="G792" s="16">
        <v>35</v>
      </c>
      <c r="H792" s="16">
        <v>6559</v>
      </c>
      <c r="I792" s="16">
        <v>423.4</v>
      </c>
      <c r="J792" s="19">
        <v>0.65800000000000003</v>
      </c>
      <c r="K792" s="16">
        <v>83.7</v>
      </c>
      <c r="L792" s="19">
        <v>0.94899999999999995</v>
      </c>
      <c r="M792" s="19">
        <v>4.3999999999999997E-2</v>
      </c>
      <c r="N792" s="21">
        <v>45123.45</v>
      </c>
      <c r="O792" s="21">
        <v>29893.7</v>
      </c>
      <c r="P792" s="26">
        <v>15229.75</v>
      </c>
    </row>
    <row r="793" spans="1:16" x14ac:dyDescent="0.3">
      <c r="A793" s="25">
        <v>792</v>
      </c>
      <c r="B793" s="16" t="s">
        <v>53</v>
      </c>
      <c r="C793" s="16">
        <v>2025</v>
      </c>
      <c r="D793" s="16" t="s">
        <v>26</v>
      </c>
      <c r="E793" s="16" t="s">
        <v>35</v>
      </c>
      <c r="F793" s="16" t="s">
        <v>33</v>
      </c>
      <c r="G793" s="16">
        <v>48</v>
      </c>
      <c r="H793" s="16">
        <v>9255</v>
      </c>
      <c r="I793" s="16">
        <v>497.7</v>
      </c>
      <c r="J793" s="19">
        <v>0.751</v>
      </c>
      <c r="K793" s="16">
        <v>85.6</v>
      </c>
      <c r="L793" s="19">
        <v>0.78200000000000003</v>
      </c>
      <c r="M793" s="19">
        <v>4.1000000000000002E-2</v>
      </c>
      <c r="N793" s="21">
        <v>70650.350000000006</v>
      </c>
      <c r="O793" s="21">
        <v>54367.51</v>
      </c>
      <c r="P793" s="26">
        <v>16282.84</v>
      </c>
    </row>
    <row r="794" spans="1:16" x14ac:dyDescent="0.3">
      <c r="A794" s="25">
        <v>793</v>
      </c>
      <c r="B794" s="16" t="s">
        <v>53</v>
      </c>
      <c r="C794" s="16">
        <v>2025</v>
      </c>
      <c r="D794" s="16" t="s">
        <v>26</v>
      </c>
      <c r="E794" s="16" t="s">
        <v>34</v>
      </c>
      <c r="F794" s="16" t="s">
        <v>36</v>
      </c>
      <c r="G794" s="16">
        <v>39</v>
      </c>
      <c r="H794" s="16">
        <v>6673</v>
      </c>
      <c r="I794" s="16">
        <v>894.1</v>
      </c>
      <c r="J794" s="19">
        <v>0.76</v>
      </c>
      <c r="K794" s="16">
        <v>77.7</v>
      </c>
      <c r="L794" s="19">
        <v>0.86499999999999999</v>
      </c>
      <c r="M794" s="19">
        <v>4.1000000000000002E-2</v>
      </c>
      <c r="N794" s="21">
        <v>52053.47</v>
      </c>
      <c r="O794" s="21">
        <v>39842.870000000003</v>
      </c>
      <c r="P794" s="26">
        <v>12210.6</v>
      </c>
    </row>
    <row r="795" spans="1:16" x14ac:dyDescent="0.3">
      <c r="A795" s="25">
        <v>794</v>
      </c>
      <c r="B795" s="16" t="s">
        <v>53</v>
      </c>
      <c r="C795" s="16">
        <v>2025</v>
      </c>
      <c r="D795" s="16" t="s">
        <v>26</v>
      </c>
      <c r="E795" s="16" t="s">
        <v>30</v>
      </c>
      <c r="F795" s="16" t="s">
        <v>37</v>
      </c>
      <c r="G795" s="16">
        <v>54</v>
      </c>
      <c r="H795" s="16">
        <v>10383</v>
      </c>
      <c r="I795" s="16">
        <v>636.1</v>
      </c>
      <c r="J795" s="19">
        <v>0.628</v>
      </c>
      <c r="K795" s="16">
        <v>83.1</v>
      </c>
      <c r="L795" s="19">
        <v>0.95</v>
      </c>
      <c r="M795" s="19">
        <v>3.7999999999999999E-2</v>
      </c>
      <c r="N795" s="21">
        <v>53138.73</v>
      </c>
      <c r="O795" s="21">
        <v>36682.29</v>
      </c>
      <c r="P795" s="26">
        <v>16456.439999999999</v>
      </c>
    </row>
    <row r="796" spans="1:16" x14ac:dyDescent="0.3">
      <c r="A796" s="25">
        <v>795</v>
      </c>
      <c r="B796" s="16" t="s">
        <v>53</v>
      </c>
      <c r="C796" s="16">
        <v>2025</v>
      </c>
      <c r="D796" s="16" t="s">
        <v>38</v>
      </c>
      <c r="E796" s="16" t="s">
        <v>32</v>
      </c>
      <c r="F796" s="16" t="s">
        <v>28</v>
      </c>
      <c r="G796" s="16">
        <v>62</v>
      </c>
      <c r="H796" s="16">
        <v>9427</v>
      </c>
      <c r="I796" s="16">
        <v>428.6</v>
      </c>
      <c r="J796" s="19">
        <v>0.77</v>
      </c>
      <c r="K796" s="16">
        <v>92.8</v>
      </c>
      <c r="L796" s="19">
        <v>0.83099999999999996</v>
      </c>
      <c r="M796" s="19">
        <v>0.04</v>
      </c>
      <c r="N796" s="21">
        <v>81945.740000000005</v>
      </c>
      <c r="O796" s="21">
        <v>56615.67</v>
      </c>
      <c r="P796" s="26">
        <v>25330.07</v>
      </c>
    </row>
    <row r="797" spans="1:16" x14ac:dyDescent="0.3">
      <c r="A797" s="25">
        <v>796</v>
      </c>
      <c r="B797" s="16" t="s">
        <v>53</v>
      </c>
      <c r="C797" s="16">
        <v>2025</v>
      </c>
      <c r="D797" s="16" t="s">
        <v>38</v>
      </c>
      <c r="E797" s="16" t="s">
        <v>30</v>
      </c>
      <c r="F797" s="16" t="s">
        <v>28</v>
      </c>
      <c r="G797" s="16">
        <v>52</v>
      </c>
      <c r="H797" s="16">
        <v>7992</v>
      </c>
      <c r="I797" s="16">
        <v>446.6</v>
      </c>
      <c r="J797" s="19">
        <v>0.91300000000000003</v>
      </c>
      <c r="K797" s="16">
        <v>80.099999999999994</v>
      </c>
      <c r="L797" s="19">
        <v>0.79500000000000004</v>
      </c>
      <c r="M797" s="19">
        <v>4.4999999999999998E-2</v>
      </c>
      <c r="N797" s="21">
        <v>88382.93</v>
      </c>
      <c r="O797" s="21">
        <v>68092.7</v>
      </c>
      <c r="P797" s="26">
        <v>20290.23</v>
      </c>
    </row>
    <row r="798" spans="1:16" x14ac:dyDescent="0.3">
      <c r="A798" s="25">
        <v>797</v>
      </c>
      <c r="B798" s="16" t="s">
        <v>53</v>
      </c>
      <c r="C798" s="16">
        <v>2025</v>
      </c>
      <c r="D798" s="16" t="s">
        <v>38</v>
      </c>
      <c r="E798" s="16" t="s">
        <v>34</v>
      </c>
      <c r="F798" s="16" t="s">
        <v>28</v>
      </c>
      <c r="G798" s="16">
        <v>34</v>
      </c>
      <c r="H798" s="16">
        <v>5391</v>
      </c>
      <c r="I798" s="16">
        <v>375.9</v>
      </c>
      <c r="J798" s="19">
        <v>0.82399999999999995</v>
      </c>
      <c r="K798" s="16">
        <v>89</v>
      </c>
      <c r="L798" s="19">
        <v>0.84799999999999998</v>
      </c>
      <c r="M798" s="19">
        <v>4.2000000000000003E-2</v>
      </c>
      <c r="N798" s="21">
        <v>61375.39</v>
      </c>
      <c r="O798" s="21">
        <v>41710.410000000003</v>
      </c>
      <c r="P798" s="26">
        <v>19664.98</v>
      </c>
    </row>
    <row r="799" spans="1:16" x14ac:dyDescent="0.3">
      <c r="A799" s="25">
        <v>798</v>
      </c>
      <c r="B799" s="16" t="s">
        <v>53</v>
      </c>
      <c r="C799" s="16">
        <v>2025</v>
      </c>
      <c r="D799" s="16" t="s">
        <v>38</v>
      </c>
      <c r="E799" s="16" t="s">
        <v>32</v>
      </c>
      <c r="F799" s="16" t="s">
        <v>29</v>
      </c>
      <c r="G799" s="16">
        <v>65</v>
      </c>
      <c r="H799" s="16">
        <v>10647</v>
      </c>
      <c r="I799" s="16">
        <v>324.10000000000002</v>
      </c>
      <c r="J799" s="19">
        <v>0.73399999999999999</v>
      </c>
      <c r="K799" s="16">
        <v>75</v>
      </c>
      <c r="L799" s="19">
        <v>0.89500000000000002</v>
      </c>
      <c r="M799" s="19">
        <v>3.5999999999999997E-2</v>
      </c>
      <c r="N799" s="21">
        <v>107327.53</v>
      </c>
      <c r="O799" s="21">
        <v>70402.570000000007</v>
      </c>
      <c r="P799" s="26">
        <v>36924.959999999999</v>
      </c>
    </row>
    <row r="800" spans="1:16" x14ac:dyDescent="0.3">
      <c r="A800" s="25">
        <v>799</v>
      </c>
      <c r="B800" s="16" t="s">
        <v>53</v>
      </c>
      <c r="C800" s="16">
        <v>2025</v>
      </c>
      <c r="D800" s="16" t="s">
        <v>38</v>
      </c>
      <c r="E800" s="16" t="s">
        <v>34</v>
      </c>
      <c r="F800" s="16" t="s">
        <v>29</v>
      </c>
      <c r="G800" s="16">
        <v>52</v>
      </c>
      <c r="H800" s="16">
        <v>7209</v>
      </c>
      <c r="I800" s="16">
        <v>388.6</v>
      </c>
      <c r="J800" s="19">
        <v>0.56899999999999995</v>
      </c>
      <c r="K800" s="16">
        <v>79.400000000000006</v>
      </c>
      <c r="L800" s="19">
        <v>1</v>
      </c>
      <c r="M800" s="19">
        <v>4.2000000000000003E-2</v>
      </c>
      <c r="N800" s="21">
        <v>48879.81</v>
      </c>
      <c r="O800" s="21">
        <v>34667.629999999997</v>
      </c>
      <c r="P800" s="26">
        <v>14212.18</v>
      </c>
    </row>
    <row r="801" spans="1:16" x14ac:dyDescent="0.3">
      <c r="A801" s="25">
        <v>800</v>
      </c>
      <c r="B801" s="16" t="s">
        <v>53</v>
      </c>
      <c r="C801" s="16">
        <v>2025</v>
      </c>
      <c r="D801" s="16" t="s">
        <v>38</v>
      </c>
      <c r="E801" s="16" t="s">
        <v>31</v>
      </c>
      <c r="F801" s="16" t="s">
        <v>29</v>
      </c>
      <c r="G801" s="16">
        <v>56</v>
      </c>
      <c r="H801" s="16">
        <v>8446</v>
      </c>
      <c r="I801" s="16">
        <v>322.8</v>
      </c>
      <c r="J801" s="19">
        <v>0.60699999999999998</v>
      </c>
      <c r="K801" s="16">
        <v>87.3</v>
      </c>
      <c r="L801" s="19">
        <v>0.89300000000000002</v>
      </c>
      <c r="M801" s="19">
        <v>3.2000000000000001E-2</v>
      </c>
      <c r="N801" s="21">
        <v>61940.86</v>
      </c>
      <c r="O801" s="21">
        <v>45390.6</v>
      </c>
      <c r="P801" s="26">
        <v>16550.259999999998</v>
      </c>
    </row>
    <row r="802" spans="1:16" x14ac:dyDescent="0.3">
      <c r="A802" s="25">
        <v>801</v>
      </c>
      <c r="B802" s="16" t="s">
        <v>53</v>
      </c>
      <c r="C802" s="16">
        <v>2025</v>
      </c>
      <c r="D802" s="16" t="s">
        <v>38</v>
      </c>
      <c r="E802" s="16" t="s">
        <v>32</v>
      </c>
      <c r="F802" s="16" t="s">
        <v>33</v>
      </c>
      <c r="G802" s="16">
        <v>69</v>
      </c>
      <c r="H802" s="16">
        <v>14518</v>
      </c>
      <c r="I802" s="16">
        <v>469.5</v>
      </c>
      <c r="J802" s="19">
        <v>0.60799999999999998</v>
      </c>
      <c r="K802" s="16">
        <v>82.6</v>
      </c>
      <c r="L802" s="19">
        <v>0.86399999999999999</v>
      </c>
      <c r="M802" s="19">
        <v>6.6000000000000003E-2</v>
      </c>
      <c r="N802" s="21">
        <v>102713.18</v>
      </c>
      <c r="O802" s="21">
        <v>67006.350000000006</v>
      </c>
      <c r="P802" s="26">
        <v>35706.83</v>
      </c>
    </row>
    <row r="803" spans="1:16" x14ac:dyDescent="0.3">
      <c r="A803" s="25">
        <v>802</v>
      </c>
      <c r="B803" s="16" t="s">
        <v>53</v>
      </c>
      <c r="C803" s="16">
        <v>2025</v>
      </c>
      <c r="D803" s="16" t="s">
        <v>38</v>
      </c>
      <c r="E803" s="16" t="s">
        <v>31</v>
      </c>
      <c r="F803" s="16" t="s">
        <v>33</v>
      </c>
      <c r="G803" s="16">
        <v>39</v>
      </c>
      <c r="H803" s="16">
        <v>7205</v>
      </c>
      <c r="I803" s="16">
        <v>480.1</v>
      </c>
      <c r="J803" s="19">
        <v>0.77500000000000002</v>
      </c>
      <c r="K803" s="16">
        <v>87.2</v>
      </c>
      <c r="L803" s="19">
        <v>0.874</v>
      </c>
      <c r="M803" s="19">
        <v>4.7E-2</v>
      </c>
      <c r="N803" s="21">
        <v>57093.87</v>
      </c>
      <c r="O803" s="21">
        <v>37407.82</v>
      </c>
      <c r="P803" s="26">
        <v>19686.05</v>
      </c>
    </row>
    <row r="804" spans="1:16" x14ac:dyDescent="0.3">
      <c r="A804" s="25">
        <v>803</v>
      </c>
      <c r="B804" s="16" t="s">
        <v>53</v>
      </c>
      <c r="C804" s="16">
        <v>2025</v>
      </c>
      <c r="D804" s="16" t="s">
        <v>38</v>
      </c>
      <c r="E804" s="16" t="s">
        <v>32</v>
      </c>
      <c r="F804" s="16" t="s">
        <v>36</v>
      </c>
      <c r="G804" s="16">
        <v>68</v>
      </c>
      <c r="H804" s="16">
        <v>10784</v>
      </c>
      <c r="I804" s="16">
        <v>941.3</v>
      </c>
      <c r="J804" s="19">
        <v>0.66900000000000004</v>
      </c>
      <c r="K804" s="16">
        <v>84.2</v>
      </c>
      <c r="L804" s="19">
        <v>0.84</v>
      </c>
      <c r="M804" s="19">
        <v>0.04</v>
      </c>
      <c r="N804" s="21">
        <v>66374.03</v>
      </c>
      <c r="O804" s="21">
        <v>44855.07</v>
      </c>
      <c r="P804" s="26">
        <v>21518.959999999999</v>
      </c>
    </row>
    <row r="805" spans="1:16" x14ac:dyDescent="0.3">
      <c r="A805" s="25">
        <v>804</v>
      </c>
      <c r="B805" s="16" t="s">
        <v>53</v>
      </c>
      <c r="C805" s="16">
        <v>2025</v>
      </c>
      <c r="D805" s="16" t="s">
        <v>38</v>
      </c>
      <c r="E805" s="16" t="s">
        <v>27</v>
      </c>
      <c r="F805" s="16" t="s">
        <v>36</v>
      </c>
      <c r="G805" s="16">
        <v>45</v>
      </c>
      <c r="H805" s="16">
        <v>7033</v>
      </c>
      <c r="I805" s="16">
        <v>889.7</v>
      </c>
      <c r="J805" s="19">
        <v>0.67</v>
      </c>
      <c r="K805" s="16">
        <v>91.4</v>
      </c>
      <c r="L805" s="19">
        <v>1</v>
      </c>
      <c r="M805" s="19">
        <v>3.5999999999999997E-2</v>
      </c>
      <c r="N805" s="21">
        <v>66544.95</v>
      </c>
      <c r="O805" s="21">
        <v>49323.22</v>
      </c>
      <c r="P805" s="26">
        <v>17221.73</v>
      </c>
    </row>
    <row r="806" spans="1:16" x14ac:dyDescent="0.3">
      <c r="A806" s="25">
        <v>805</v>
      </c>
      <c r="B806" s="16" t="s">
        <v>53</v>
      </c>
      <c r="C806" s="16">
        <v>2025</v>
      </c>
      <c r="D806" s="16" t="s">
        <v>38</v>
      </c>
      <c r="E806" s="16" t="s">
        <v>34</v>
      </c>
      <c r="F806" s="16" t="s">
        <v>36</v>
      </c>
      <c r="G806" s="16">
        <v>60</v>
      </c>
      <c r="H806" s="16">
        <v>12509</v>
      </c>
      <c r="I806" s="16">
        <v>913.3</v>
      </c>
      <c r="J806" s="19">
        <v>0.73899999999999999</v>
      </c>
      <c r="K806" s="16">
        <v>83.4</v>
      </c>
      <c r="L806" s="19">
        <v>0.85899999999999999</v>
      </c>
      <c r="M806" s="19">
        <v>2.8000000000000001E-2</v>
      </c>
      <c r="N806" s="21">
        <v>82167.66</v>
      </c>
      <c r="O806" s="21">
        <v>63494.400000000001</v>
      </c>
      <c r="P806" s="26">
        <v>18673.259999999998</v>
      </c>
    </row>
    <row r="807" spans="1:16" x14ac:dyDescent="0.3">
      <c r="A807" s="25">
        <v>806</v>
      </c>
      <c r="B807" s="16" t="s">
        <v>53</v>
      </c>
      <c r="C807" s="16">
        <v>2025</v>
      </c>
      <c r="D807" s="16" t="s">
        <v>38</v>
      </c>
      <c r="E807" s="16" t="s">
        <v>35</v>
      </c>
      <c r="F807" s="16" t="s">
        <v>36</v>
      </c>
      <c r="G807" s="16">
        <v>41</v>
      </c>
      <c r="H807" s="16">
        <v>7057</v>
      </c>
      <c r="I807" s="16">
        <v>837.9</v>
      </c>
      <c r="J807" s="19">
        <v>0.70799999999999996</v>
      </c>
      <c r="K807" s="16">
        <v>83.4</v>
      </c>
      <c r="L807" s="19">
        <v>0.90300000000000002</v>
      </c>
      <c r="M807" s="19">
        <v>3.3000000000000002E-2</v>
      </c>
      <c r="N807" s="21">
        <v>41993.79</v>
      </c>
      <c r="O807" s="21">
        <v>32529.46</v>
      </c>
      <c r="P807" s="26">
        <v>9464.33</v>
      </c>
    </row>
    <row r="808" spans="1:16" x14ac:dyDescent="0.3">
      <c r="A808" s="25">
        <v>807</v>
      </c>
      <c r="B808" s="16" t="s">
        <v>53</v>
      </c>
      <c r="C808" s="16">
        <v>2025</v>
      </c>
      <c r="D808" s="16" t="s">
        <v>38</v>
      </c>
      <c r="E808" s="16" t="s">
        <v>32</v>
      </c>
      <c r="F808" s="16" t="s">
        <v>37</v>
      </c>
      <c r="G808" s="16">
        <v>54</v>
      </c>
      <c r="H808" s="16">
        <v>10203</v>
      </c>
      <c r="I808" s="16">
        <v>706.6</v>
      </c>
      <c r="J808" s="19">
        <v>0.67500000000000004</v>
      </c>
      <c r="K808" s="16">
        <v>87.5</v>
      </c>
      <c r="L808" s="19">
        <v>0.85799999999999998</v>
      </c>
      <c r="M808" s="19">
        <v>4.1000000000000002E-2</v>
      </c>
      <c r="N808" s="21">
        <v>65783.94</v>
      </c>
      <c r="O808" s="21">
        <v>49788.6</v>
      </c>
      <c r="P808" s="26">
        <v>15995.34</v>
      </c>
    </row>
    <row r="809" spans="1:16" x14ac:dyDescent="0.3">
      <c r="A809" s="25">
        <v>808</v>
      </c>
      <c r="B809" s="16" t="s">
        <v>53</v>
      </c>
      <c r="C809" s="16">
        <v>2025</v>
      </c>
      <c r="D809" s="16" t="s">
        <v>38</v>
      </c>
      <c r="E809" s="16" t="s">
        <v>27</v>
      </c>
      <c r="F809" s="16" t="s">
        <v>37</v>
      </c>
      <c r="G809" s="16">
        <v>49</v>
      </c>
      <c r="H809" s="16">
        <v>7718</v>
      </c>
      <c r="I809" s="16">
        <v>717.8</v>
      </c>
      <c r="J809" s="19">
        <v>0.59399999999999997</v>
      </c>
      <c r="K809" s="16">
        <v>78.7</v>
      </c>
      <c r="L809" s="19">
        <v>1</v>
      </c>
      <c r="M809" s="19">
        <v>5.0999999999999997E-2</v>
      </c>
      <c r="N809" s="21">
        <v>61608</v>
      </c>
      <c r="O809" s="21">
        <v>39522.080000000002</v>
      </c>
      <c r="P809" s="26">
        <v>22085.919999999998</v>
      </c>
    </row>
    <row r="810" spans="1:16" x14ac:dyDescent="0.3">
      <c r="A810" s="25">
        <v>809</v>
      </c>
      <c r="B810" s="16" t="s">
        <v>53</v>
      </c>
      <c r="C810" s="16">
        <v>2025</v>
      </c>
      <c r="D810" s="16" t="s">
        <v>38</v>
      </c>
      <c r="E810" s="16" t="s">
        <v>30</v>
      </c>
      <c r="F810" s="16" t="s">
        <v>37</v>
      </c>
      <c r="G810" s="16">
        <v>58</v>
      </c>
      <c r="H810" s="16">
        <v>10137</v>
      </c>
      <c r="I810" s="16">
        <v>629.79999999999995</v>
      </c>
      <c r="J810" s="19">
        <v>0.66100000000000003</v>
      </c>
      <c r="K810" s="16">
        <v>77.7</v>
      </c>
      <c r="L810" s="19">
        <v>0.91</v>
      </c>
      <c r="M810" s="19">
        <v>4.2000000000000003E-2</v>
      </c>
      <c r="N810" s="21">
        <v>90014.77</v>
      </c>
      <c r="O810" s="21">
        <v>61118.17</v>
      </c>
      <c r="P810" s="26">
        <v>28896.6</v>
      </c>
    </row>
    <row r="811" spans="1:16" x14ac:dyDescent="0.3">
      <c r="A811" s="25">
        <v>810</v>
      </c>
      <c r="B811" s="16" t="s">
        <v>53</v>
      </c>
      <c r="C811" s="16">
        <v>2025</v>
      </c>
      <c r="D811" s="16" t="s">
        <v>38</v>
      </c>
      <c r="E811" s="16" t="s">
        <v>31</v>
      </c>
      <c r="F811" s="16" t="s">
        <v>37</v>
      </c>
      <c r="G811" s="16">
        <v>22</v>
      </c>
      <c r="H811" s="16">
        <v>4081</v>
      </c>
      <c r="I811" s="16">
        <v>649.4</v>
      </c>
      <c r="J811" s="19">
        <v>0.71299999999999997</v>
      </c>
      <c r="K811" s="16">
        <v>91.3</v>
      </c>
      <c r="L811" s="19">
        <v>0.85799999999999998</v>
      </c>
      <c r="M811" s="19">
        <v>2.1000000000000001E-2</v>
      </c>
      <c r="N811" s="21">
        <v>28589.25</v>
      </c>
      <c r="O811" s="21">
        <v>19496.91</v>
      </c>
      <c r="P811" s="26">
        <v>9092.34</v>
      </c>
    </row>
    <row r="812" spans="1:16" x14ac:dyDescent="0.3">
      <c r="A812" s="25">
        <v>811</v>
      </c>
      <c r="B812" s="16" t="s">
        <v>53</v>
      </c>
      <c r="C812" s="16">
        <v>2025</v>
      </c>
      <c r="D812" s="16" t="s">
        <v>38</v>
      </c>
      <c r="E812" s="16" t="s">
        <v>35</v>
      </c>
      <c r="F812" s="16" t="s">
        <v>37</v>
      </c>
      <c r="G812" s="16">
        <v>81</v>
      </c>
      <c r="H812" s="16">
        <v>14168</v>
      </c>
      <c r="I812" s="16">
        <v>656.2</v>
      </c>
      <c r="J812" s="19">
        <v>0.66800000000000004</v>
      </c>
      <c r="K812" s="16">
        <v>79.8</v>
      </c>
      <c r="L812" s="19">
        <v>0.83599999999999997</v>
      </c>
      <c r="M812" s="19">
        <v>5.1999999999999998E-2</v>
      </c>
      <c r="N812" s="21">
        <v>108386.58</v>
      </c>
      <c r="O812" s="21">
        <v>68347.17</v>
      </c>
      <c r="P812" s="26">
        <v>40039.410000000003</v>
      </c>
    </row>
    <row r="813" spans="1:16" x14ac:dyDescent="0.3">
      <c r="A813" s="25">
        <v>812</v>
      </c>
      <c r="B813" s="16" t="s">
        <v>53</v>
      </c>
      <c r="C813" s="16">
        <v>2025</v>
      </c>
      <c r="D813" s="16" t="s">
        <v>39</v>
      </c>
      <c r="E813" s="16" t="s">
        <v>31</v>
      </c>
      <c r="F813" s="16" t="s">
        <v>28</v>
      </c>
      <c r="G813" s="16">
        <v>59</v>
      </c>
      <c r="H813" s="16">
        <v>11591</v>
      </c>
      <c r="I813" s="16">
        <v>363.1</v>
      </c>
      <c r="J813" s="19">
        <v>0.88500000000000001</v>
      </c>
      <c r="K813" s="16">
        <v>68.5</v>
      </c>
      <c r="L813" s="19">
        <v>0.872</v>
      </c>
      <c r="M813" s="19">
        <v>3.2000000000000001E-2</v>
      </c>
      <c r="N813" s="21">
        <v>107921.85</v>
      </c>
      <c r="O813" s="21">
        <v>67010.33</v>
      </c>
      <c r="P813" s="26">
        <v>40911.519999999997</v>
      </c>
    </row>
    <row r="814" spans="1:16" x14ac:dyDescent="0.3">
      <c r="A814" s="25">
        <v>813</v>
      </c>
      <c r="B814" s="16" t="s">
        <v>53</v>
      </c>
      <c r="C814" s="16">
        <v>2025</v>
      </c>
      <c r="D814" s="16" t="s">
        <v>39</v>
      </c>
      <c r="E814" s="16" t="s">
        <v>35</v>
      </c>
      <c r="F814" s="16" t="s">
        <v>28</v>
      </c>
      <c r="G814" s="16">
        <v>53</v>
      </c>
      <c r="H814" s="16">
        <v>8925</v>
      </c>
      <c r="I814" s="16">
        <v>419.5</v>
      </c>
      <c r="J814" s="19">
        <v>0.72099999999999997</v>
      </c>
      <c r="K814" s="16">
        <v>73.5</v>
      </c>
      <c r="L814" s="19">
        <v>0.94199999999999995</v>
      </c>
      <c r="M814" s="19">
        <v>4.7E-2</v>
      </c>
      <c r="N814" s="21">
        <v>94130.6</v>
      </c>
      <c r="O814" s="21">
        <v>63253.11</v>
      </c>
      <c r="P814" s="26">
        <v>30877.49</v>
      </c>
    </row>
    <row r="815" spans="1:16" x14ac:dyDescent="0.3">
      <c r="A815" s="25">
        <v>814</v>
      </c>
      <c r="B815" s="16" t="s">
        <v>53</v>
      </c>
      <c r="C815" s="16">
        <v>2025</v>
      </c>
      <c r="D815" s="16" t="s">
        <v>39</v>
      </c>
      <c r="E815" s="16" t="s">
        <v>27</v>
      </c>
      <c r="F815" s="16" t="s">
        <v>29</v>
      </c>
      <c r="G815" s="16">
        <v>58</v>
      </c>
      <c r="H815" s="16">
        <v>9395</v>
      </c>
      <c r="I815" s="16">
        <v>368.2</v>
      </c>
      <c r="J815" s="19">
        <v>0.54400000000000004</v>
      </c>
      <c r="K815" s="16">
        <v>71.8</v>
      </c>
      <c r="L815" s="19">
        <v>0.879</v>
      </c>
      <c r="M815" s="19">
        <v>3.5000000000000003E-2</v>
      </c>
      <c r="N815" s="21">
        <v>84002.11</v>
      </c>
      <c r="O815" s="21">
        <v>54662.42</v>
      </c>
      <c r="P815" s="26">
        <v>29339.69</v>
      </c>
    </row>
    <row r="816" spans="1:16" x14ac:dyDescent="0.3">
      <c r="A816" s="25">
        <v>815</v>
      </c>
      <c r="B816" s="16" t="s">
        <v>53</v>
      </c>
      <c r="C816" s="16">
        <v>2025</v>
      </c>
      <c r="D816" s="16" t="s">
        <v>39</v>
      </c>
      <c r="E816" s="16" t="s">
        <v>30</v>
      </c>
      <c r="F816" s="16" t="s">
        <v>29</v>
      </c>
      <c r="G816" s="16">
        <v>50</v>
      </c>
      <c r="H816" s="16">
        <v>8392</v>
      </c>
      <c r="I816" s="16">
        <v>249.2</v>
      </c>
      <c r="J816" s="19">
        <v>0.71499999999999997</v>
      </c>
      <c r="K816" s="16">
        <v>72.3</v>
      </c>
      <c r="L816" s="19">
        <v>0.876</v>
      </c>
      <c r="M816" s="19">
        <v>2.7E-2</v>
      </c>
      <c r="N816" s="21">
        <v>74201.98</v>
      </c>
      <c r="O816" s="21">
        <v>57035.99</v>
      </c>
      <c r="P816" s="26">
        <v>17165.990000000002</v>
      </c>
    </row>
    <row r="817" spans="1:16" x14ac:dyDescent="0.3">
      <c r="A817" s="25">
        <v>816</v>
      </c>
      <c r="B817" s="16" t="s">
        <v>53</v>
      </c>
      <c r="C817" s="16">
        <v>2025</v>
      </c>
      <c r="D817" s="16" t="s">
        <v>39</v>
      </c>
      <c r="E817" s="16" t="s">
        <v>31</v>
      </c>
      <c r="F817" s="16" t="s">
        <v>29</v>
      </c>
      <c r="G817" s="16">
        <v>57</v>
      </c>
      <c r="H817" s="16">
        <v>9049</v>
      </c>
      <c r="I817" s="16">
        <v>364.7</v>
      </c>
      <c r="J817" s="19">
        <v>0.60399999999999998</v>
      </c>
      <c r="K817" s="16">
        <v>83.7</v>
      </c>
      <c r="L817" s="19">
        <v>0.91500000000000004</v>
      </c>
      <c r="M817" s="19">
        <v>4.2000000000000003E-2</v>
      </c>
      <c r="N817" s="21">
        <v>53874.02</v>
      </c>
      <c r="O817" s="21">
        <v>37585.730000000003</v>
      </c>
      <c r="P817" s="26">
        <v>16288.29</v>
      </c>
    </row>
    <row r="818" spans="1:16" x14ac:dyDescent="0.3">
      <c r="A818" s="25">
        <v>817</v>
      </c>
      <c r="B818" s="16" t="s">
        <v>53</v>
      </c>
      <c r="C818" s="16">
        <v>2025</v>
      </c>
      <c r="D818" s="16" t="s">
        <v>39</v>
      </c>
      <c r="E818" s="16" t="s">
        <v>32</v>
      </c>
      <c r="F818" s="16" t="s">
        <v>33</v>
      </c>
      <c r="G818" s="16">
        <v>45</v>
      </c>
      <c r="H818" s="16">
        <v>7501</v>
      </c>
      <c r="I818" s="16">
        <v>553.6</v>
      </c>
      <c r="J818" s="19">
        <v>0.79400000000000004</v>
      </c>
      <c r="K818" s="16">
        <v>80.8</v>
      </c>
      <c r="L818" s="19">
        <v>0.97199999999999998</v>
      </c>
      <c r="M818" s="19">
        <v>2.8000000000000001E-2</v>
      </c>
      <c r="N818" s="21">
        <v>78442.600000000006</v>
      </c>
      <c r="O818" s="21">
        <v>54258.79</v>
      </c>
      <c r="P818" s="26">
        <v>24183.81</v>
      </c>
    </row>
    <row r="819" spans="1:16" x14ac:dyDescent="0.3">
      <c r="A819" s="25">
        <v>818</v>
      </c>
      <c r="B819" s="16" t="s">
        <v>53</v>
      </c>
      <c r="C819" s="16">
        <v>2025</v>
      </c>
      <c r="D819" s="16" t="s">
        <v>39</v>
      </c>
      <c r="E819" s="16" t="s">
        <v>27</v>
      </c>
      <c r="F819" s="16" t="s">
        <v>33</v>
      </c>
      <c r="G819" s="16">
        <v>44</v>
      </c>
      <c r="H819" s="16">
        <v>9162</v>
      </c>
      <c r="I819" s="16">
        <v>551.1</v>
      </c>
      <c r="J819" s="19">
        <v>0.77800000000000002</v>
      </c>
      <c r="K819" s="16">
        <v>87.8</v>
      </c>
      <c r="L819" s="19">
        <v>0.81799999999999995</v>
      </c>
      <c r="M819" s="19">
        <v>4.2000000000000003E-2</v>
      </c>
      <c r="N819" s="21">
        <v>58788.1</v>
      </c>
      <c r="O819" s="21">
        <v>38460.01</v>
      </c>
      <c r="P819" s="26">
        <v>20328.09</v>
      </c>
    </row>
    <row r="820" spans="1:16" x14ac:dyDescent="0.3">
      <c r="A820" s="25">
        <v>819</v>
      </c>
      <c r="B820" s="16" t="s">
        <v>53</v>
      </c>
      <c r="C820" s="16">
        <v>2025</v>
      </c>
      <c r="D820" s="16" t="s">
        <v>39</v>
      </c>
      <c r="E820" s="16" t="s">
        <v>31</v>
      </c>
      <c r="F820" s="16" t="s">
        <v>33</v>
      </c>
      <c r="G820" s="16">
        <v>68</v>
      </c>
      <c r="H820" s="16">
        <v>13558</v>
      </c>
      <c r="I820" s="16">
        <v>522.20000000000005</v>
      </c>
      <c r="J820" s="19">
        <v>0.76100000000000001</v>
      </c>
      <c r="K820" s="16">
        <v>88.5</v>
      </c>
      <c r="L820" s="19">
        <v>0.93700000000000006</v>
      </c>
      <c r="M820" s="19">
        <v>3.9E-2</v>
      </c>
      <c r="N820" s="21">
        <v>100269.6</v>
      </c>
      <c r="O820" s="21">
        <v>73375.8</v>
      </c>
      <c r="P820" s="26">
        <v>26893.8</v>
      </c>
    </row>
    <row r="821" spans="1:16" x14ac:dyDescent="0.3">
      <c r="A821" s="25">
        <v>820</v>
      </c>
      <c r="B821" s="16" t="s">
        <v>53</v>
      </c>
      <c r="C821" s="16">
        <v>2025</v>
      </c>
      <c r="D821" s="16" t="s">
        <v>39</v>
      </c>
      <c r="E821" s="16" t="s">
        <v>32</v>
      </c>
      <c r="F821" s="16" t="s">
        <v>36</v>
      </c>
      <c r="G821" s="16">
        <v>30</v>
      </c>
      <c r="H821" s="16">
        <v>5226</v>
      </c>
      <c r="I821" s="16">
        <v>832.5</v>
      </c>
      <c r="J821" s="19">
        <v>0.75</v>
      </c>
      <c r="K821" s="16">
        <v>86.4</v>
      </c>
      <c r="L821" s="19">
        <v>0.83299999999999996</v>
      </c>
      <c r="M821" s="19">
        <v>4.2999999999999997E-2</v>
      </c>
      <c r="N821" s="21">
        <v>53516.01</v>
      </c>
      <c r="O821" s="21">
        <v>37569.85</v>
      </c>
      <c r="P821" s="26">
        <v>15946.16</v>
      </c>
    </row>
    <row r="822" spans="1:16" x14ac:dyDescent="0.3">
      <c r="A822" s="25">
        <v>821</v>
      </c>
      <c r="B822" s="16" t="s">
        <v>53</v>
      </c>
      <c r="C822" s="16">
        <v>2025</v>
      </c>
      <c r="D822" s="16" t="s">
        <v>39</v>
      </c>
      <c r="E822" s="16" t="s">
        <v>27</v>
      </c>
      <c r="F822" s="16" t="s">
        <v>36</v>
      </c>
      <c r="G822" s="16">
        <v>57</v>
      </c>
      <c r="H822" s="16">
        <v>10051</v>
      </c>
      <c r="I822" s="16">
        <v>921.2</v>
      </c>
      <c r="J822" s="19">
        <v>0.69299999999999995</v>
      </c>
      <c r="K822" s="16">
        <v>81.8</v>
      </c>
      <c r="L822" s="19">
        <v>1</v>
      </c>
      <c r="M822" s="19">
        <v>4.9000000000000002E-2</v>
      </c>
      <c r="N822" s="21">
        <v>65475.13</v>
      </c>
      <c r="O822" s="21">
        <v>42159.54</v>
      </c>
      <c r="P822" s="26">
        <v>23315.59</v>
      </c>
    </row>
    <row r="823" spans="1:16" x14ac:dyDescent="0.3">
      <c r="A823" s="25">
        <v>822</v>
      </c>
      <c r="B823" s="16" t="s">
        <v>53</v>
      </c>
      <c r="C823" s="16">
        <v>2025</v>
      </c>
      <c r="D823" s="16" t="s">
        <v>39</v>
      </c>
      <c r="E823" s="16" t="s">
        <v>34</v>
      </c>
      <c r="F823" s="16" t="s">
        <v>36</v>
      </c>
      <c r="G823" s="16">
        <v>63</v>
      </c>
      <c r="H823" s="16">
        <v>11714</v>
      </c>
      <c r="I823" s="16">
        <v>905.6</v>
      </c>
      <c r="J823" s="19">
        <v>0.73399999999999999</v>
      </c>
      <c r="K823" s="16">
        <v>83.2</v>
      </c>
      <c r="L823" s="19">
        <v>0.92300000000000004</v>
      </c>
      <c r="M823" s="19">
        <v>3.9E-2</v>
      </c>
      <c r="N823" s="21">
        <v>111576.48</v>
      </c>
      <c r="O823" s="21">
        <v>81596.149999999994</v>
      </c>
      <c r="P823" s="26">
        <v>29980.33</v>
      </c>
    </row>
    <row r="824" spans="1:16" x14ac:dyDescent="0.3">
      <c r="A824" s="25">
        <v>823</v>
      </c>
      <c r="B824" s="16" t="s">
        <v>53</v>
      </c>
      <c r="C824" s="16">
        <v>2025</v>
      </c>
      <c r="D824" s="16" t="s">
        <v>39</v>
      </c>
      <c r="E824" s="16" t="s">
        <v>31</v>
      </c>
      <c r="F824" s="16" t="s">
        <v>36</v>
      </c>
      <c r="G824" s="16">
        <v>35</v>
      </c>
      <c r="H824" s="16">
        <v>7085</v>
      </c>
      <c r="I824" s="16">
        <v>843.7</v>
      </c>
      <c r="J824" s="19">
        <v>0.59799999999999998</v>
      </c>
      <c r="K824" s="16">
        <v>83.9</v>
      </c>
      <c r="L824" s="19">
        <v>0.96499999999999997</v>
      </c>
      <c r="M824" s="19">
        <v>3.1E-2</v>
      </c>
      <c r="N824" s="21">
        <v>34611.69</v>
      </c>
      <c r="O824" s="21">
        <v>26649.040000000001</v>
      </c>
      <c r="P824" s="26">
        <v>7962.65</v>
      </c>
    </row>
    <row r="825" spans="1:16" x14ac:dyDescent="0.3">
      <c r="A825" s="25">
        <v>824</v>
      </c>
      <c r="B825" s="16" t="s">
        <v>53</v>
      </c>
      <c r="C825" s="16">
        <v>2025</v>
      </c>
      <c r="D825" s="16" t="s">
        <v>39</v>
      </c>
      <c r="E825" s="16" t="s">
        <v>32</v>
      </c>
      <c r="F825" s="16" t="s">
        <v>37</v>
      </c>
      <c r="G825" s="16">
        <v>44</v>
      </c>
      <c r="H825" s="16">
        <v>7749</v>
      </c>
      <c r="I825" s="16">
        <v>671.1</v>
      </c>
      <c r="J825" s="19">
        <v>0.69899999999999995</v>
      </c>
      <c r="K825" s="16">
        <v>78.3</v>
      </c>
      <c r="L825" s="19">
        <v>1</v>
      </c>
      <c r="M825" s="19">
        <v>3.5999999999999997E-2</v>
      </c>
      <c r="N825" s="21">
        <v>70644.47</v>
      </c>
      <c r="O825" s="21">
        <v>46825.04</v>
      </c>
      <c r="P825" s="26">
        <v>23819.43</v>
      </c>
    </row>
    <row r="826" spans="1:16" x14ac:dyDescent="0.3">
      <c r="A826" s="25">
        <v>825</v>
      </c>
      <c r="B826" s="16" t="s">
        <v>53</v>
      </c>
      <c r="C826" s="16">
        <v>2025</v>
      </c>
      <c r="D826" s="16" t="s">
        <v>39</v>
      </c>
      <c r="E826" s="16" t="s">
        <v>27</v>
      </c>
      <c r="F826" s="16" t="s">
        <v>37</v>
      </c>
      <c r="G826" s="16">
        <v>42</v>
      </c>
      <c r="H826" s="16">
        <v>7105</v>
      </c>
      <c r="I826" s="16">
        <v>671.7</v>
      </c>
      <c r="J826" s="19">
        <v>0.56699999999999995</v>
      </c>
      <c r="K826" s="16">
        <v>71.2</v>
      </c>
      <c r="L826" s="19">
        <v>0.91200000000000003</v>
      </c>
      <c r="M826" s="19">
        <v>3.4000000000000002E-2</v>
      </c>
      <c r="N826" s="21">
        <v>50383.11</v>
      </c>
      <c r="O826" s="21">
        <v>39267.75</v>
      </c>
      <c r="P826" s="26">
        <v>11115.36</v>
      </c>
    </row>
    <row r="827" spans="1:16" x14ac:dyDescent="0.3">
      <c r="A827" s="25">
        <v>826</v>
      </c>
      <c r="B827" s="16" t="s">
        <v>53</v>
      </c>
      <c r="C827" s="16">
        <v>2025</v>
      </c>
      <c r="D827" s="16" t="s">
        <v>39</v>
      </c>
      <c r="E827" s="16" t="s">
        <v>31</v>
      </c>
      <c r="F827" s="16" t="s">
        <v>37</v>
      </c>
      <c r="G827" s="16">
        <v>37</v>
      </c>
      <c r="H827" s="16">
        <v>7573</v>
      </c>
      <c r="I827" s="16">
        <v>665.2</v>
      </c>
      <c r="J827" s="19">
        <v>0.73299999999999998</v>
      </c>
      <c r="K827" s="16">
        <v>89.3</v>
      </c>
      <c r="L827" s="19">
        <v>0.89400000000000002</v>
      </c>
      <c r="M827" s="19">
        <v>3.3000000000000002E-2</v>
      </c>
      <c r="N827" s="21">
        <v>52630.22</v>
      </c>
      <c r="O827" s="21">
        <v>36593.120000000003</v>
      </c>
      <c r="P827" s="26">
        <v>16037.1</v>
      </c>
    </row>
    <row r="828" spans="1:16" x14ac:dyDescent="0.3">
      <c r="A828" s="25">
        <v>827</v>
      </c>
      <c r="B828" s="16" t="s">
        <v>53</v>
      </c>
      <c r="C828" s="16">
        <v>2025</v>
      </c>
      <c r="D828" s="16" t="s">
        <v>40</v>
      </c>
      <c r="E828" s="16" t="s">
        <v>32</v>
      </c>
      <c r="F828" s="16" t="s">
        <v>28</v>
      </c>
      <c r="G828" s="16">
        <v>58</v>
      </c>
      <c r="H828" s="16">
        <v>10937</v>
      </c>
      <c r="I828" s="16">
        <v>433.4</v>
      </c>
      <c r="J828" s="19">
        <v>0.80800000000000005</v>
      </c>
      <c r="K828" s="16">
        <v>89.7</v>
      </c>
      <c r="L828" s="19">
        <v>0.91</v>
      </c>
      <c r="M828" s="19">
        <v>2.7E-2</v>
      </c>
      <c r="N828" s="21">
        <v>84980.6</v>
      </c>
      <c r="O828" s="21">
        <v>59926.02</v>
      </c>
      <c r="P828" s="26">
        <v>25054.58</v>
      </c>
    </row>
    <row r="829" spans="1:16" x14ac:dyDescent="0.3">
      <c r="A829" s="25">
        <v>828</v>
      </c>
      <c r="B829" s="16" t="s">
        <v>53</v>
      </c>
      <c r="C829" s="16">
        <v>2025</v>
      </c>
      <c r="D829" s="16" t="s">
        <v>40</v>
      </c>
      <c r="E829" s="16" t="s">
        <v>30</v>
      </c>
      <c r="F829" s="16" t="s">
        <v>28</v>
      </c>
      <c r="G829" s="16">
        <v>29</v>
      </c>
      <c r="H829" s="16">
        <v>5348</v>
      </c>
      <c r="I829" s="16">
        <v>417.4</v>
      </c>
      <c r="J829" s="19">
        <v>0.753</v>
      </c>
      <c r="K829" s="16">
        <v>88.1</v>
      </c>
      <c r="L829" s="19">
        <v>0.90300000000000002</v>
      </c>
      <c r="M829" s="19">
        <v>3.6999999999999998E-2</v>
      </c>
      <c r="N829" s="21">
        <v>46068.22</v>
      </c>
      <c r="O829" s="21">
        <v>34118.519999999997</v>
      </c>
      <c r="P829" s="26">
        <v>11949.7</v>
      </c>
    </row>
    <row r="830" spans="1:16" x14ac:dyDescent="0.3">
      <c r="A830" s="25">
        <v>829</v>
      </c>
      <c r="B830" s="16" t="s">
        <v>53</v>
      </c>
      <c r="C830" s="16">
        <v>2025</v>
      </c>
      <c r="D830" s="16" t="s">
        <v>40</v>
      </c>
      <c r="E830" s="16" t="s">
        <v>31</v>
      </c>
      <c r="F830" s="16" t="s">
        <v>28</v>
      </c>
      <c r="G830" s="16">
        <v>40</v>
      </c>
      <c r="H830" s="16">
        <v>5834</v>
      </c>
      <c r="I830" s="16">
        <v>451</v>
      </c>
      <c r="J830" s="19">
        <v>0.81100000000000005</v>
      </c>
      <c r="K830" s="16">
        <v>77.400000000000006</v>
      </c>
      <c r="L830" s="19">
        <v>0.92500000000000004</v>
      </c>
      <c r="M830" s="19">
        <v>1.2999999999999999E-2</v>
      </c>
      <c r="N830" s="21">
        <v>64982.51</v>
      </c>
      <c r="O830" s="21">
        <v>43285.1</v>
      </c>
      <c r="P830" s="26">
        <v>21697.41</v>
      </c>
    </row>
    <row r="831" spans="1:16" x14ac:dyDescent="0.3">
      <c r="A831" s="25">
        <v>830</v>
      </c>
      <c r="B831" s="16" t="s">
        <v>53</v>
      </c>
      <c r="C831" s="16">
        <v>2025</v>
      </c>
      <c r="D831" s="16" t="s">
        <v>40</v>
      </c>
      <c r="E831" s="16" t="s">
        <v>32</v>
      </c>
      <c r="F831" s="16" t="s">
        <v>29</v>
      </c>
      <c r="G831" s="16">
        <v>29</v>
      </c>
      <c r="H831" s="16">
        <v>5128</v>
      </c>
      <c r="I831" s="16">
        <v>325.2</v>
      </c>
      <c r="J831" s="19">
        <v>0.63200000000000001</v>
      </c>
      <c r="K831" s="16">
        <v>83.4</v>
      </c>
      <c r="L831" s="19">
        <v>0.77300000000000002</v>
      </c>
      <c r="M831" s="19">
        <v>2.8000000000000001E-2</v>
      </c>
      <c r="N831" s="21">
        <v>34737.230000000003</v>
      </c>
      <c r="O831" s="21">
        <v>26330.29</v>
      </c>
      <c r="P831" s="26">
        <v>8406.94</v>
      </c>
    </row>
    <row r="832" spans="1:16" x14ac:dyDescent="0.3">
      <c r="A832" s="25">
        <v>831</v>
      </c>
      <c r="B832" s="16" t="s">
        <v>53</v>
      </c>
      <c r="C832" s="16">
        <v>2025</v>
      </c>
      <c r="D832" s="16" t="s">
        <v>40</v>
      </c>
      <c r="E832" s="16" t="s">
        <v>27</v>
      </c>
      <c r="F832" s="16" t="s">
        <v>29</v>
      </c>
      <c r="G832" s="16">
        <v>50</v>
      </c>
      <c r="H832" s="16">
        <v>8303</v>
      </c>
      <c r="I832" s="16">
        <v>253.7</v>
      </c>
      <c r="J832" s="19">
        <v>0.54100000000000004</v>
      </c>
      <c r="K832" s="16">
        <v>77.400000000000006</v>
      </c>
      <c r="L832" s="19">
        <v>0.97499999999999998</v>
      </c>
      <c r="M832" s="19">
        <v>4.3999999999999997E-2</v>
      </c>
      <c r="N832" s="21">
        <v>66650.5</v>
      </c>
      <c r="O832" s="21">
        <v>44012.74</v>
      </c>
      <c r="P832" s="26">
        <v>22637.759999999998</v>
      </c>
    </row>
    <row r="833" spans="1:16" x14ac:dyDescent="0.3">
      <c r="A833" s="25">
        <v>832</v>
      </c>
      <c r="B833" s="16" t="s">
        <v>53</v>
      </c>
      <c r="C833" s="16">
        <v>2025</v>
      </c>
      <c r="D833" s="16" t="s">
        <v>40</v>
      </c>
      <c r="E833" s="16" t="s">
        <v>34</v>
      </c>
      <c r="F833" s="16" t="s">
        <v>29</v>
      </c>
      <c r="G833" s="16">
        <v>37</v>
      </c>
      <c r="H833" s="16">
        <v>7276</v>
      </c>
      <c r="I833" s="16">
        <v>271.39999999999998</v>
      </c>
      <c r="J833" s="19">
        <v>0.65300000000000002</v>
      </c>
      <c r="K833" s="16">
        <v>79.599999999999994</v>
      </c>
      <c r="L833" s="19">
        <v>0.91200000000000003</v>
      </c>
      <c r="M833" s="19">
        <v>0.02</v>
      </c>
      <c r="N833" s="21">
        <v>48731.77</v>
      </c>
      <c r="O833" s="21">
        <v>35620.720000000001</v>
      </c>
      <c r="P833" s="26">
        <v>13111.05</v>
      </c>
    </row>
    <row r="834" spans="1:16" x14ac:dyDescent="0.3">
      <c r="A834" s="25">
        <v>833</v>
      </c>
      <c r="B834" s="16" t="s">
        <v>53</v>
      </c>
      <c r="C834" s="16">
        <v>2025</v>
      </c>
      <c r="D834" s="16" t="s">
        <v>40</v>
      </c>
      <c r="E834" s="16" t="s">
        <v>31</v>
      </c>
      <c r="F834" s="16" t="s">
        <v>29</v>
      </c>
      <c r="G834" s="16">
        <v>84</v>
      </c>
      <c r="H834" s="16">
        <v>16545</v>
      </c>
      <c r="I834" s="16">
        <v>301.60000000000002</v>
      </c>
      <c r="J834" s="19">
        <v>0.65800000000000003</v>
      </c>
      <c r="K834" s="16">
        <v>88.8</v>
      </c>
      <c r="L834" s="19">
        <v>0.82599999999999996</v>
      </c>
      <c r="M834" s="19">
        <v>4.3999999999999997E-2</v>
      </c>
      <c r="N834" s="21">
        <v>123943.44</v>
      </c>
      <c r="O834" s="21">
        <v>89538.53</v>
      </c>
      <c r="P834" s="26">
        <v>34404.910000000003</v>
      </c>
    </row>
    <row r="835" spans="1:16" x14ac:dyDescent="0.3">
      <c r="A835" s="25">
        <v>834</v>
      </c>
      <c r="B835" s="16" t="s">
        <v>53</v>
      </c>
      <c r="C835" s="16">
        <v>2025</v>
      </c>
      <c r="D835" s="16" t="s">
        <v>40</v>
      </c>
      <c r="E835" s="16" t="s">
        <v>35</v>
      </c>
      <c r="F835" s="16" t="s">
        <v>29</v>
      </c>
      <c r="G835" s="16">
        <v>42</v>
      </c>
      <c r="H835" s="16">
        <v>6795</v>
      </c>
      <c r="I835" s="16">
        <v>262.3</v>
      </c>
      <c r="J835" s="19">
        <v>0.66800000000000004</v>
      </c>
      <c r="K835" s="16">
        <v>83.7</v>
      </c>
      <c r="L835" s="19">
        <v>0.89100000000000001</v>
      </c>
      <c r="M835" s="19">
        <v>0.03</v>
      </c>
      <c r="N835" s="21">
        <v>39944.65</v>
      </c>
      <c r="O835" s="21">
        <v>30780.65</v>
      </c>
      <c r="P835" s="26">
        <v>9164</v>
      </c>
    </row>
    <row r="836" spans="1:16" x14ac:dyDescent="0.3">
      <c r="A836" s="25">
        <v>835</v>
      </c>
      <c r="B836" s="16" t="s">
        <v>53</v>
      </c>
      <c r="C836" s="16">
        <v>2025</v>
      </c>
      <c r="D836" s="16" t="s">
        <v>40</v>
      </c>
      <c r="E836" s="16" t="s">
        <v>30</v>
      </c>
      <c r="F836" s="16" t="s">
        <v>33</v>
      </c>
      <c r="G836" s="16">
        <v>55</v>
      </c>
      <c r="H836" s="16">
        <v>9741</v>
      </c>
      <c r="I836" s="16">
        <v>481.8</v>
      </c>
      <c r="J836" s="19">
        <v>0.74399999999999999</v>
      </c>
      <c r="K836" s="16">
        <v>79.900000000000006</v>
      </c>
      <c r="L836" s="19">
        <v>0.95799999999999996</v>
      </c>
      <c r="M836" s="19">
        <v>3.2000000000000001E-2</v>
      </c>
      <c r="N836" s="21">
        <v>91844.14</v>
      </c>
      <c r="O836" s="21">
        <v>57589.53</v>
      </c>
      <c r="P836" s="26">
        <v>34254.61</v>
      </c>
    </row>
    <row r="837" spans="1:16" x14ac:dyDescent="0.3">
      <c r="A837" s="25">
        <v>836</v>
      </c>
      <c r="B837" s="16" t="s">
        <v>53</v>
      </c>
      <c r="C837" s="16">
        <v>2025</v>
      </c>
      <c r="D837" s="16" t="s">
        <v>40</v>
      </c>
      <c r="E837" s="16" t="s">
        <v>34</v>
      </c>
      <c r="F837" s="16" t="s">
        <v>33</v>
      </c>
      <c r="G837" s="16">
        <v>42</v>
      </c>
      <c r="H837" s="16">
        <v>5814</v>
      </c>
      <c r="I837" s="16">
        <v>448.9</v>
      </c>
      <c r="J837" s="19">
        <v>0.85099999999999998</v>
      </c>
      <c r="K837" s="16">
        <v>81.400000000000006</v>
      </c>
      <c r="L837" s="19">
        <v>0.98499999999999999</v>
      </c>
      <c r="M837" s="19">
        <v>3.4000000000000002E-2</v>
      </c>
      <c r="N837" s="21">
        <v>61209.45</v>
      </c>
      <c r="O837" s="21">
        <v>46912.65</v>
      </c>
      <c r="P837" s="26">
        <v>14296.8</v>
      </c>
    </row>
    <row r="838" spans="1:16" x14ac:dyDescent="0.3">
      <c r="A838" s="25">
        <v>837</v>
      </c>
      <c r="B838" s="16" t="s">
        <v>53</v>
      </c>
      <c r="C838" s="16">
        <v>2025</v>
      </c>
      <c r="D838" s="16" t="s">
        <v>40</v>
      </c>
      <c r="E838" s="16" t="s">
        <v>32</v>
      </c>
      <c r="F838" s="16" t="s">
        <v>36</v>
      </c>
      <c r="G838" s="16">
        <v>72</v>
      </c>
      <c r="H838" s="16">
        <v>11948</v>
      </c>
      <c r="I838" s="16">
        <v>864.6</v>
      </c>
      <c r="J838" s="19">
        <v>0.71499999999999997</v>
      </c>
      <c r="K838" s="16">
        <v>78.2</v>
      </c>
      <c r="L838" s="19">
        <v>1</v>
      </c>
      <c r="M838" s="19">
        <v>0.04</v>
      </c>
      <c r="N838" s="21">
        <v>114706.41</v>
      </c>
      <c r="O838" s="21">
        <v>87198.96</v>
      </c>
      <c r="P838" s="26">
        <v>27507.45</v>
      </c>
    </row>
    <row r="839" spans="1:16" x14ac:dyDescent="0.3">
      <c r="A839" s="25">
        <v>838</v>
      </c>
      <c r="B839" s="16" t="s">
        <v>53</v>
      </c>
      <c r="C839" s="16">
        <v>2025</v>
      </c>
      <c r="D839" s="16" t="s">
        <v>40</v>
      </c>
      <c r="E839" s="16" t="s">
        <v>31</v>
      </c>
      <c r="F839" s="16" t="s">
        <v>36</v>
      </c>
      <c r="G839" s="16">
        <v>44</v>
      </c>
      <c r="H839" s="16">
        <v>6409</v>
      </c>
      <c r="I839" s="16">
        <v>922.7</v>
      </c>
      <c r="J839" s="19">
        <v>0.66100000000000003</v>
      </c>
      <c r="K839" s="16">
        <v>73.2</v>
      </c>
      <c r="L839" s="19">
        <v>0.95899999999999996</v>
      </c>
      <c r="M839" s="19">
        <v>3.1E-2</v>
      </c>
      <c r="N839" s="21">
        <v>54637.47</v>
      </c>
      <c r="O839" s="21">
        <v>38716.32</v>
      </c>
      <c r="P839" s="26">
        <v>15921.15</v>
      </c>
    </row>
    <row r="840" spans="1:16" x14ac:dyDescent="0.3">
      <c r="A840" s="25">
        <v>839</v>
      </c>
      <c r="B840" s="16" t="s">
        <v>53</v>
      </c>
      <c r="C840" s="16">
        <v>2025</v>
      </c>
      <c r="D840" s="16" t="s">
        <v>40</v>
      </c>
      <c r="E840" s="16" t="s">
        <v>35</v>
      </c>
      <c r="F840" s="16" t="s">
        <v>36</v>
      </c>
      <c r="G840" s="16">
        <v>55</v>
      </c>
      <c r="H840" s="16">
        <v>9308</v>
      </c>
      <c r="I840" s="16">
        <v>897.3</v>
      </c>
      <c r="J840" s="19">
        <v>0.68400000000000005</v>
      </c>
      <c r="K840" s="16">
        <v>82.5</v>
      </c>
      <c r="L840" s="19">
        <v>0.84399999999999997</v>
      </c>
      <c r="M840" s="19">
        <v>0.04</v>
      </c>
      <c r="N840" s="21">
        <v>63001.84</v>
      </c>
      <c r="O840" s="21">
        <v>45233.440000000002</v>
      </c>
      <c r="P840" s="26">
        <v>17768.400000000001</v>
      </c>
    </row>
    <row r="841" spans="1:16" x14ac:dyDescent="0.3">
      <c r="A841" s="25">
        <v>840</v>
      </c>
      <c r="B841" s="16" t="s">
        <v>53</v>
      </c>
      <c r="C841" s="16">
        <v>2025</v>
      </c>
      <c r="D841" s="16" t="s">
        <v>40</v>
      </c>
      <c r="E841" s="16" t="s">
        <v>27</v>
      </c>
      <c r="F841" s="16" t="s">
        <v>37</v>
      </c>
      <c r="G841" s="16">
        <v>54</v>
      </c>
      <c r="H841" s="16">
        <v>10102</v>
      </c>
      <c r="I841" s="16">
        <v>632.70000000000005</v>
      </c>
      <c r="J841" s="19">
        <v>0.65200000000000002</v>
      </c>
      <c r="K841" s="16">
        <v>81.7</v>
      </c>
      <c r="L841" s="19">
        <v>0.83599999999999997</v>
      </c>
      <c r="M841" s="19">
        <v>2.5999999999999999E-2</v>
      </c>
      <c r="N841" s="21">
        <v>60796.99</v>
      </c>
      <c r="O841" s="21">
        <v>43571.88</v>
      </c>
      <c r="P841" s="26">
        <v>17225.11</v>
      </c>
    </row>
    <row r="842" spans="1:16" x14ac:dyDescent="0.3">
      <c r="A842" s="25">
        <v>841</v>
      </c>
      <c r="B842" s="16" t="s">
        <v>53</v>
      </c>
      <c r="C842" s="16">
        <v>2025</v>
      </c>
      <c r="D842" s="16" t="s">
        <v>40</v>
      </c>
      <c r="E842" s="16" t="s">
        <v>30</v>
      </c>
      <c r="F842" s="16" t="s">
        <v>37</v>
      </c>
      <c r="G842" s="16">
        <v>36</v>
      </c>
      <c r="H842" s="16">
        <v>6867</v>
      </c>
      <c r="I842" s="16">
        <v>630.5</v>
      </c>
      <c r="J842" s="19">
        <v>0.56299999999999994</v>
      </c>
      <c r="K842" s="16">
        <v>84.5</v>
      </c>
      <c r="L842" s="19">
        <v>0.93300000000000005</v>
      </c>
      <c r="M842" s="19">
        <v>5.0999999999999997E-2</v>
      </c>
      <c r="N842" s="21">
        <v>31469.59</v>
      </c>
      <c r="O842" s="21">
        <v>23190.35</v>
      </c>
      <c r="P842" s="26">
        <v>8279.24</v>
      </c>
    </row>
    <row r="843" spans="1:16" x14ac:dyDescent="0.3">
      <c r="A843" s="25">
        <v>842</v>
      </c>
      <c r="B843" s="16" t="s">
        <v>53</v>
      </c>
      <c r="C843" s="16">
        <v>2025</v>
      </c>
      <c r="D843" s="16" t="s">
        <v>41</v>
      </c>
      <c r="E843" s="16" t="s">
        <v>27</v>
      </c>
      <c r="F843" s="16" t="s">
        <v>28</v>
      </c>
      <c r="G843" s="16">
        <v>43</v>
      </c>
      <c r="H843" s="16">
        <v>6083</v>
      </c>
      <c r="I843" s="16">
        <v>428.9</v>
      </c>
      <c r="J843" s="19">
        <v>0.69699999999999995</v>
      </c>
      <c r="K843" s="16">
        <v>88.2</v>
      </c>
      <c r="L843" s="19">
        <v>0.71199999999999997</v>
      </c>
      <c r="M843" s="19">
        <v>2.1999999999999999E-2</v>
      </c>
      <c r="N843" s="21">
        <v>83622.17</v>
      </c>
      <c r="O843" s="21">
        <v>64577.46</v>
      </c>
      <c r="P843" s="26">
        <v>19044.71</v>
      </c>
    </row>
    <row r="844" spans="1:16" x14ac:dyDescent="0.3">
      <c r="A844" s="25">
        <v>843</v>
      </c>
      <c r="B844" s="16" t="s">
        <v>53</v>
      </c>
      <c r="C844" s="16">
        <v>2025</v>
      </c>
      <c r="D844" s="16" t="s">
        <v>41</v>
      </c>
      <c r="E844" s="16" t="s">
        <v>30</v>
      </c>
      <c r="F844" s="16" t="s">
        <v>28</v>
      </c>
      <c r="G844" s="16">
        <v>57</v>
      </c>
      <c r="H844" s="16">
        <v>11462</v>
      </c>
      <c r="I844" s="16">
        <v>336.4</v>
      </c>
      <c r="J844" s="19">
        <v>0.74099999999999999</v>
      </c>
      <c r="K844" s="16">
        <v>86.7</v>
      </c>
      <c r="L844" s="19">
        <v>0.81200000000000006</v>
      </c>
      <c r="M844" s="19">
        <v>3.5999999999999997E-2</v>
      </c>
      <c r="N844" s="21">
        <v>110548.49</v>
      </c>
      <c r="O844" s="21">
        <v>69366.039999999994</v>
      </c>
      <c r="P844" s="26">
        <v>41182.449999999997</v>
      </c>
    </row>
    <row r="845" spans="1:16" x14ac:dyDescent="0.3">
      <c r="A845" s="25">
        <v>844</v>
      </c>
      <c r="B845" s="16" t="s">
        <v>53</v>
      </c>
      <c r="C845" s="16">
        <v>2025</v>
      </c>
      <c r="D845" s="16" t="s">
        <v>41</v>
      </c>
      <c r="E845" s="16" t="s">
        <v>34</v>
      </c>
      <c r="F845" s="16" t="s">
        <v>28</v>
      </c>
      <c r="G845" s="16">
        <v>40</v>
      </c>
      <c r="H845" s="16">
        <v>5284</v>
      </c>
      <c r="I845" s="16">
        <v>390</v>
      </c>
      <c r="J845" s="19">
        <v>0.81100000000000005</v>
      </c>
      <c r="K845" s="16">
        <v>76.900000000000006</v>
      </c>
      <c r="L845" s="19">
        <v>0.91700000000000004</v>
      </c>
      <c r="M845" s="19">
        <v>3.5999999999999997E-2</v>
      </c>
      <c r="N845" s="21">
        <v>75497.5</v>
      </c>
      <c r="O845" s="21">
        <v>51682.84</v>
      </c>
      <c r="P845" s="26">
        <v>23814.66</v>
      </c>
    </row>
    <row r="846" spans="1:16" x14ac:dyDescent="0.3">
      <c r="A846" s="25">
        <v>845</v>
      </c>
      <c r="B846" s="16" t="s">
        <v>53</v>
      </c>
      <c r="C846" s="16">
        <v>2025</v>
      </c>
      <c r="D846" s="16" t="s">
        <v>41</v>
      </c>
      <c r="E846" s="16" t="s">
        <v>27</v>
      </c>
      <c r="F846" s="16" t="s">
        <v>29</v>
      </c>
      <c r="G846" s="16">
        <v>57</v>
      </c>
      <c r="H846" s="16">
        <v>9632</v>
      </c>
      <c r="I846" s="16">
        <v>310.3</v>
      </c>
      <c r="J846" s="19">
        <v>0.63600000000000001</v>
      </c>
      <c r="K846" s="16">
        <v>86.3</v>
      </c>
      <c r="L846" s="19">
        <v>0.878</v>
      </c>
      <c r="M846" s="19">
        <v>1.4999999999999999E-2</v>
      </c>
      <c r="N846" s="21">
        <v>97727.42</v>
      </c>
      <c r="O846" s="21">
        <v>62319.47</v>
      </c>
      <c r="P846" s="26">
        <v>35407.949999999997</v>
      </c>
    </row>
    <row r="847" spans="1:16" x14ac:dyDescent="0.3">
      <c r="A847" s="25">
        <v>846</v>
      </c>
      <c r="B847" s="16" t="s">
        <v>53</v>
      </c>
      <c r="C847" s="16">
        <v>2025</v>
      </c>
      <c r="D847" s="16" t="s">
        <v>41</v>
      </c>
      <c r="E847" s="16" t="s">
        <v>30</v>
      </c>
      <c r="F847" s="16" t="s">
        <v>29</v>
      </c>
      <c r="G847" s="16">
        <v>58</v>
      </c>
      <c r="H847" s="16">
        <v>11837</v>
      </c>
      <c r="I847" s="16">
        <v>284.39999999999998</v>
      </c>
      <c r="J847" s="19">
        <v>0.73899999999999999</v>
      </c>
      <c r="K847" s="16">
        <v>79.7</v>
      </c>
      <c r="L847" s="19">
        <v>0.94899999999999995</v>
      </c>
      <c r="M847" s="19">
        <v>4.2999999999999997E-2</v>
      </c>
      <c r="N847" s="21">
        <v>92829.23</v>
      </c>
      <c r="O847" s="21">
        <v>63787.38</v>
      </c>
      <c r="P847" s="26">
        <v>29041.85</v>
      </c>
    </row>
    <row r="848" spans="1:16" x14ac:dyDescent="0.3">
      <c r="A848" s="25">
        <v>847</v>
      </c>
      <c r="B848" s="16" t="s">
        <v>53</v>
      </c>
      <c r="C848" s="16">
        <v>2025</v>
      </c>
      <c r="D848" s="16" t="s">
        <v>41</v>
      </c>
      <c r="E848" s="16" t="s">
        <v>34</v>
      </c>
      <c r="F848" s="16" t="s">
        <v>29</v>
      </c>
      <c r="G848" s="16">
        <v>59</v>
      </c>
      <c r="H848" s="16">
        <v>9864</v>
      </c>
      <c r="I848" s="16">
        <v>287.7</v>
      </c>
      <c r="J848" s="19">
        <v>0.73199999999999998</v>
      </c>
      <c r="K848" s="16">
        <v>82.5</v>
      </c>
      <c r="L848" s="19">
        <v>0.88600000000000001</v>
      </c>
      <c r="M848" s="19">
        <v>3.7999999999999999E-2</v>
      </c>
      <c r="N848" s="21">
        <v>131536.6</v>
      </c>
      <c r="O848" s="21">
        <v>86346.95</v>
      </c>
      <c r="P848" s="26">
        <v>45189.65</v>
      </c>
    </row>
    <row r="849" spans="1:16" x14ac:dyDescent="0.3">
      <c r="A849" s="25">
        <v>848</v>
      </c>
      <c r="B849" s="16" t="s">
        <v>53</v>
      </c>
      <c r="C849" s="16">
        <v>2025</v>
      </c>
      <c r="D849" s="16" t="s">
        <v>41</v>
      </c>
      <c r="E849" s="16" t="s">
        <v>32</v>
      </c>
      <c r="F849" s="16" t="s">
        <v>33</v>
      </c>
      <c r="G849" s="16">
        <v>75</v>
      </c>
      <c r="H849" s="16">
        <v>14338</v>
      </c>
      <c r="I849" s="16">
        <v>473.8</v>
      </c>
      <c r="J849" s="19">
        <v>0.63100000000000001</v>
      </c>
      <c r="K849" s="16">
        <v>87.9</v>
      </c>
      <c r="L849" s="19">
        <v>0.97</v>
      </c>
      <c r="M849" s="19">
        <v>3.1E-2</v>
      </c>
      <c r="N849" s="21">
        <v>149543.70000000001</v>
      </c>
      <c r="O849" s="21">
        <v>111568.33</v>
      </c>
      <c r="P849" s="26">
        <v>37975.370000000003</v>
      </c>
    </row>
    <row r="850" spans="1:16" x14ac:dyDescent="0.3">
      <c r="A850" s="25">
        <v>849</v>
      </c>
      <c r="B850" s="16" t="s">
        <v>53</v>
      </c>
      <c r="C850" s="16">
        <v>2025</v>
      </c>
      <c r="D850" s="16" t="s">
        <v>41</v>
      </c>
      <c r="E850" s="16" t="s">
        <v>30</v>
      </c>
      <c r="F850" s="16" t="s">
        <v>33</v>
      </c>
      <c r="G850" s="16">
        <v>31</v>
      </c>
      <c r="H850" s="16">
        <v>6120</v>
      </c>
      <c r="I850" s="16">
        <v>433.7</v>
      </c>
      <c r="J850" s="19">
        <v>0.749</v>
      </c>
      <c r="K850" s="16">
        <v>93.1</v>
      </c>
      <c r="L850" s="19">
        <v>0.97</v>
      </c>
      <c r="M850" s="19">
        <v>2.9000000000000001E-2</v>
      </c>
      <c r="N850" s="21">
        <v>55111.86</v>
      </c>
      <c r="O850" s="21">
        <v>39374.15</v>
      </c>
      <c r="P850" s="26">
        <v>15737.71</v>
      </c>
    </row>
    <row r="851" spans="1:16" x14ac:dyDescent="0.3">
      <c r="A851" s="25">
        <v>850</v>
      </c>
      <c r="B851" s="16" t="s">
        <v>53</v>
      </c>
      <c r="C851" s="16">
        <v>2025</v>
      </c>
      <c r="D851" s="16" t="s">
        <v>41</v>
      </c>
      <c r="E851" s="16" t="s">
        <v>31</v>
      </c>
      <c r="F851" s="16" t="s">
        <v>33</v>
      </c>
      <c r="G851" s="16">
        <v>7</v>
      </c>
      <c r="H851" s="16">
        <v>1226</v>
      </c>
      <c r="I851" s="16">
        <v>471.4</v>
      </c>
      <c r="J851" s="19">
        <v>0.68100000000000005</v>
      </c>
      <c r="K851" s="16">
        <v>79.5</v>
      </c>
      <c r="L851" s="19">
        <v>0.88800000000000001</v>
      </c>
      <c r="M851" s="19">
        <v>2.3E-2</v>
      </c>
      <c r="N851" s="21">
        <v>13188.49</v>
      </c>
      <c r="O851" s="21">
        <v>9776.06</v>
      </c>
      <c r="P851" s="26">
        <v>3412.43</v>
      </c>
    </row>
    <row r="852" spans="1:16" x14ac:dyDescent="0.3">
      <c r="A852" s="25">
        <v>851</v>
      </c>
      <c r="B852" s="16" t="s">
        <v>53</v>
      </c>
      <c r="C852" s="16">
        <v>2025</v>
      </c>
      <c r="D852" s="16" t="s">
        <v>41</v>
      </c>
      <c r="E852" s="16" t="s">
        <v>32</v>
      </c>
      <c r="F852" s="16" t="s">
        <v>36</v>
      </c>
      <c r="G852" s="16">
        <v>70</v>
      </c>
      <c r="H852" s="16">
        <v>12213</v>
      </c>
      <c r="I852" s="16">
        <v>868.8</v>
      </c>
      <c r="J852" s="19">
        <v>0.68400000000000005</v>
      </c>
      <c r="K852" s="16">
        <v>80.099999999999994</v>
      </c>
      <c r="L852" s="19">
        <v>0.91</v>
      </c>
      <c r="M852" s="19">
        <v>2.9000000000000001E-2</v>
      </c>
      <c r="N852" s="21">
        <v>122008.05</v>
      </c>
      <c r="O852" s="21">
        <v>84710.73</v>
      </c>
      <c r="P852" s="26">
        <v>37297.32</v>
      </c>
    </row>
    <row r="853" spans="1:16" x14ac:dyDescent="0.3">
      <c r="A853" s="25">
        <v>852</v>
      </c>
      <c r="B853" s="16" t="s">
        <v>53</v>
      </c>
      <c r="C853" s="16">
        <v>2025</v>
      </c>
      <c r="D853" s="16" t="s">
        <v>41</v>
      </c>
      <c r="E853" s="16" t="s">
        <v>27</v>
      </c>
      <c r="F853" s="16" t="s">
        <v>36</v>
      </c>
      <c r="G853" s="16">
        <v>18</v>
      </c>
      <c r="H853" s="16">
        <v>4467</v>
      </c>
      <c r="I853" s="16">
        <v>872.4</v>
      </c>
      <c r="J853" s="19">
        <v>0.75800000000000001</v>
      </c>
      <c r="K853" s="16">
        <v>79.5</v>
      </c>
      <c r="L853" s="19">
        <v>0.85199999999999998</v>
      </c>
      <c r="M853" s="19">
        <v>3.2000000000000001E-2</v>
      </c>
      <c r="N853" s="21">
        <v>20618.849999999999</v>
      </c>
      <c r="O853" s="21">
        <v>15527.28</v>
      </c>
      <c r="P853" s="26">
        <v>5091.57</v>
      </c>
    </row>
    <row r="854" spans="1:16" x14ac:dyDescent="0.3">
      <c r="A854" s="25">
        <v>853</v>
      </c>
      <c r="B854" s="16" t="s">
        <v>53</v>
      </c>
      <c r="C854" s="16">
        <v>2025</v>
      </c>
      <c r="D854" s="16" t="s">
        <v>41</v>
      </c>
      <c r="E854" s="16" t="s">
        <v>30</v>
      </c>
      <c r="F854" s="16" t="s">
        <v>36</v>
      </c>
      <c r="G854" s="16">
        <v>44</v>
      </c>
      <c r="H854" s="16">
        <v>7520</v>
      </c>
      <c r="I854" s="16">
        <v>891.2</v>
      </c>
      <c r="J854" s="19">
        <v>0.71499999999999997</v>
      </c>
      <c r="K854" s="16">
        <v>85.7</v>
      </c>
      <c r="L854" s="19">
        <v>0.91</v>
      </c>
      <c r="M854" s="19">
        <v>3.1E-2</v>
      </c>
      <c r="N854" s="21">
        <v>78192.7</v>
      </c>
      <c r="O854" s="21">
        <v>49739.23</v>
      </c>
      <c r="P854" s="26">
        <v>28453.47</v>
      </c>
    </row>
    <row r="855" spans="1:16" x14ac:dyDescent="0.3">
      <c r="A855" s="25">
        <v>854</v>
      </c>
      <c r="B855" s="16" t="s">
        <v>53</v>
      </c>
      <c r="C855" s="16">
        <v>2025</v>
      </c>
      <c r="D855" s="16" t="s">
        <v>41</v>
      </c>
      <c r="E855" s="16" t="s">
        <v>35</v>
      </c>
      <c r="F855" s="16" t="s">
        <v>36</v>
      </c>
      <c r="G855" s="16">
        <v>43</v>
      </c>
      <c r="H855" s="16">
        <v>7869</v>
      </c>
      <c r="I855" s="16">
        <v>908.5</v>
      </c>
      <c r="J855" s="19">
        <v>0.65800000000000003</v>
      </c>
      <c r="K855" s="16">
        <v>93.3</v>
      </c>
      <c r="L855" s="19">
        <v>0.83799999999999997</v>
      </c>
      <c r="M855" s="19">
        <v>1.7999999999999999E-2</v>
      </c>
      <c r="N855" s="21">
        <v>79117.98</v>
      </c>
      <c r="O855" s="21">
        <v>59909.24</v>
      </c>
      <c r="P855" s="26">
        <v>19208.740000000002</v>
      </c>
    </row>
    <row r="856" spans="1:16" x14ac:dyDescent="0.3">
      <c r="A856" s="25">
        <v>855</v>
      </c>
      <c r="B856" s="16" t="s">
        <v>53</v>
      </c>
      <c r="C856" s="16">
        <v>2025</v>
      </c>
      <c r="D856" s="16" t="s">
        <v>41</v>
      </c>
      <c r="E856" s="16" t="s">
        <v>30</v>
      </c>
      <c r="F856" s="16" t="s">
        <v>37</v>
      </c>
      <c r="G856" s="16">
        <v>78</v>
      </c>
      <c r="H856" s="16">
        <v>12447</v>
      </c>
      <c r="I856" s="16">
        <v>676.5</v>
      </c>
      <c r="J856" s="19">
        <v>0.60799999999999998</v>
      </c>
      <c r="K856" s="16">
        <v>79.400000000000006</v>
      </c>
      <c r="L856" s="19">
        <v>0.92200000000000004</v>
      </c>
      <c r="M856" s="19">
        <v>4.1000000000000002E-2</v>
      </c>
      <c r="N856" s="21">
        <v>144495.42000000001</v>
      </c>
      <c r="O856" s="21">
        <v>98583.4</v>
      </c>
      <c r="P856" s="26">
        <v>45912.02</v>
      </c>
    </row>
    <row r="857" spans="1:16" x14ac:dyDescent="0.3">
      <c r="A857" s="25">
        <v>856</v>
      </c>
      <c r="B857" s="16" t="s">
        <v>53</v>
      </c>
      <c r="C857" s="16">
        <v>2025</v>
      </c>
      <c r="D857" s="16" t="s">
        <v>41</v>
      </c>
      <c r="E857" s="16" t="s">
        <v>34</v>
      </c>
      <c r="F857" s="16" t="s">
        <v>37</v>
      </c>
      <c r="G857" s="16">
        <v>29</v>
      </c>
      <c r="H857" s="16">
        <v>5159</v>
      </c>
      <c r="I857" s="16">
        <v>592.1</v>
      </c>
      <c r="J857" s="19">
        <v>0.61699999999999999</v>
      </c>
      <c r="K857" s="16">
        <v>91.1</v>
      </c>
      <c r="L857" s="19">
        <v>0.94299999999999995</v>
      </c>
      <c r="M857" s="19">
        <v>2.5000000000000001E-2</v>
      </c>
      <c r="N857" s="21">
        <v>46610.77</v>
      </c>
      <c r="O857" s="21">
        <v>31088.83</v>
      </c>
      <c r="P857" s="26">
        <v>15521.94</v>
      </c>
    </row>
    <row r="858" spans="1:16" x14ac:dyDescent="0.3">
      <c r="A858" s="25">
        <v>857</v>
      </c>
      <c r="B858" s="16" t="s">
        <v>53</v>
      </c>
      <c r="C858" s="16">
        <v>2025</v>
      </c>
      <c r="D858" s="16" t="s">
        <v>41</v>
      </c>
      <c r="E858" s="16" t="s">
        <v>35</v>
      </c>
      <c r="F858" s="16" t="s">
        <v>37</v>
      </c>
      <c r="G858" s="16">
        <v>83</v>
      </c>
      <c r="H858" s="16">
        <v>17830</v>
      </c>
      <c r="I858" s="16">
        <v>654.79999999999995</v>
      </c>
      <c r="J858" s="19">
        <v>0.64500000000000002</v>
      </c>
      <c r="K858" s="16">
        <v>87.5</v>
      </c>
      <c r="L858" s="19">
        <v>0.83099999999999996</v>
      </c>
      <c r="M858" s="19">
        <v>2.7E-2</v>
      </c>
      <c r="N858" s="21">
        <v>162223.85999999999</v>
      </c>
      <c r="O858" s="21">
        <v>114686.67</v>
      </c>
      <c r="P858" s="26">
        <v>47537.19</v>
      </c>
    </row>
    <row r="859" spans="1:16" x14ac:dyDescent="0.3">
      <c r="A859" s="25">
        <v>858</v>
      </c>
      <c r="B859" s="16" t="s">
        <v>54</v>
      </c>
      <c r="C859" s="16">
        <v>2025</v>
      </c>
      <c r="D859" s="16" t="s">
        <v>26</v>
      </c>
      <c r="E859" s="16" t="s">
        <v>32</v>
      </c>
      <c r="F859" s="16" t="s">
        <v>28</v>
      </c>
      <c r="G859" s="16">
        <v>28</v>
      </c>
      <c r="H859" s="16">
        <v>4283</v>
      </c>
      <c r="I859" s="16">
        <v>424.3</v>
      </c>
      <c r="J859" s="19">
        <v>0.75</v>
      </c>
      <c r="K859" s="16">
        <v>80.3</v>
      </c>
      <c r="L859" s="19">
        <v>0.94399999999999995</v>
      </c>
      <c r="M859" s="19">
        <v>3.7999999999999999E-2</v>
      </c>
      <c r="N859" s="21">
        <v>42259.68</v>
      </c>
      <c r="O859" s="21">
        <v>28740.97</v>
      </c>
      <c r="P859" s="26">
        <v>13518.71</v>
      </c>
    </row>
    <row r="860" spans="1:16" x14ac:dyDescent="0.3">
      <c r="A860" s="25">
        <v>859</v>
      </c>
      <c r="B860" s="16" t="s">
        <v>54</v>
      </c>
      <c r="C860" s="16">
        <v>2025</v>
      </c>
      <c r="D860" s="16" t="s">
        <v>26</v>
      </c>
      <c r="E860" s="16" t="s">
        <v>30</v>
      </c>
      <c r="F860" s="16" t="s">
        <v>28</v>
      </c>
      <c r="G860" s="16">
        <v>56</v>
      </c>
      <c r="H860" s="16">
        <v>11180</v>
      </c>
      <c r="I860" s="16">
        <v>424.8</v>
      </c>
      <c r="J860" s="19">
        <v>0.73599999999999999</v>
      </c>
      <c r="K860" s="16">
        <v>79.8</v>
      </c>
      <c r="L860" s="19">
        <v>0.91200000000000003</v>
      </c>
      <c r="M860" s="19">
        <v>3.1E-2</v>
      </c>
      <c r="N860" s="21">
        <v>81824.25</v>
      </c>
      <c r="O860" s="21">
        <v>59764.03</v>
      </c>
      <c r="P860" s="26">
        <v>22060.22</v>
      </c>
    </row>
    <row r="861" spans="1:16" x14ac:dyDescent="0.3">
      <c r="A861" s="25">
        <v>860</v>
      </c>
      <c r="B861" s="16" t="s">
        <v>54</v>
      </c>
      <c r="C861" s="16">
        <v>2025</v>
      </c>
      <c r="D861" s="16" t="s">
        <v>26</v>
      </c>
      <c r="E861" s="16" t="s">
        <v>34</v>
      </c>
      <c r="F861" s="16" t="s">
        <v>28</v>
      </c>
      <c r="G861" s="16">
        <v>44</v>
      </c>
      <c r="H861" s="16">
        <v>6996</v>
      </c>
      <c r="I861" s="16">
        <v>523.1</v>
      </c>
      <c r="J861" s="19">
        <v>0.79</v>
      </c>
      <c r="K861" s="16">
        <v>86.2</v>
      </c>
      <c r="L861" s="19">
        <v>0.91100000000000003</v>
      </c>
      <c r="M861" s="19">
        <v>3.3000000000000002E-2</v>
      </c>
      <c r="N861" s="21">
        <v>56253.58</v>
      </c>
      <c r="O861" s="21">
        <v>39208.980000000003</v>
      </c>
      <c r="P861" s="26">
        <v>17044.599999999999</v>
      </c>
    </row>
    <row r="862" spans="1:16" x14ac:dyDescent="0.3">
      <c r="A862" s="25">
        <v>861</v>
      </c>
      <c r="B862" s="16" t="s">
        <v>54</v>
      </c>
      <c r="C862" s="16">
        <v>2025</v>
      </c>
      <c r="D862" s="16" t="s">
        <v>26</v>
      </c>
      <c r="E862" s="16" t="s">
        <v>27</v>
      </c>
      <c r="F862" s="16" t="s">
        <v>29</v>
      </c>
      <c r="G862" s="16">
        <v>59</v>
      </c>
      <c r="H862" s="16">
        <v>10752</v>
      </c>
      <c r="I862" s="16">
        <v>322.8</v>
      </c>
      <c r="J862" s="19">
        <v>0.60099999999999998</v>
      </c>
      <c r="K862" s="16">
        <v>81.900000000000006</v>
      </c>
      <c r="L862" s="19">
        <v>0.97299999999999998</v>
      </c>
      <c r="M862" s="19">
        <v>3.7999999999999999E-2</v>
      </c>
      <c r="N862" s="21">
        <v>81996.11</v>
      </c>
      <c r="O862" s="21">
        <v>62132.46</v>
      </c>
      <c r="P862" s="26">
        <v>19863.650000000001</v>
      </c>
    </row>
    <row r="863" spans="1:16" x14ac:dyDescent="0.3">
      <c r="A863" s="25">
        <v>862</v>
      </c>
      <c r="B863" s="16" t="s">
        <v>54</v>
      </c>
      <c r="C863" s="16">
        <v>2025</v>
      </c>
      <c r="D863" s="16" t="s">
        <v>26</v>
      </c>
      <c r="E863" s="16" t="s">
        <v>30</v>
      </c>
      <c r="F863" s="16" t="s">
        <v>29</v>
      </c>
      <c r="G863" s="16">
        <v>24</v>
      </c>
      <c r="H863" s="16">
        <v>4050</v>
      </c>
      <c r="I863" s="16">
        <v>292.3</v>
      </c>
      <c r="J863" s="19">
        <v>0.71299999999999997</v>
      </c>
      <c r="K863" s="16">
        <v>75.900000000000006</v>
      </c>
      <c r="L863" s="19">
        <v>0.9</v>
      </c>
      <c r="M863" s="19">
        <v>3.5999999999999997E-2</v>
      </c>
      <c r="N863" s="21">
        <v>28707.360000000001</v>
      </c>
      <c r="O863" s="21">
        <v>18258.93</v>
      </c>
      <c r="P863" s="26">
        <v>10448.43</v>
      </c>
    </row>
    <row r="864" spans="1:16" x14ac:dyDescent="0.3">
      <c r="A864" s="25">
        <v>863</v>
      </c>
      <c r="B864" s="16" t="s">
        <v>54</v>
      </c>
      <c r="C864" s="16">
        <v>2025</v>
      </c>
      <c r="D864" s="16" t="s">
        <v>26</v>
      </c>
      <c r="E864" s="16" t="s">
        <v>34</v>
      </c>
      <c r="F864" s="16" t="s">
        <v>29</v>
      </c>
      <c r="G864" s="16">
        <v>42</v>
      </c>
      <c r="H864" s="16">
        <v>5974</v>
      </c>
      <c r="I864" s="16">
        <v>290.10000000000002</v>
      </c>
      <c r="J864" s="19">
        <v>0.621</v>
      </c>
      <c r="K864" s="16">
        <v>76.400000000000006</v>
      </c>
      <c r="L864" s="19">
        <v>0.94</v>
      </c>
      <c r="M864" s="19">
        <v>3.2000000000000001E-2</v>
      </c>
      <c r="N864" s="21">
        <v>48297.79</v>
      </c>
      <c r="O864" s="21">
        <v>35198.17</v>
      </c>
      <c r="P864" s="26">
        <v>13099.62</v>
      </c>
    </row>
    <row r="865" spans="1:16" x14ac:dyDescent="0.3">
      <c r="A865" s="25">
        <v>864</v>
      </c>
      <c r="B865" s="16" t="s">
        <v>54</v>
      </c>
      <c r="C865" s="16">
        <v>2025</v>
      </c>
      <c r="D865" s="16" t="s">
        <v>26</v>
      </c>
      <c r="E865" s="16" t="s">
        <v>31</v>
      </c>
      <c r="F865" s="16" t="s">
        <v>29</v>
      </c>
      <c r="G865" s="16">
        <v>44</v>
      </c>
      <c r="H865" s="16">
        <v>7494</v>
      </c>
      <c r="I865" s="16">
        <v>312.5</v>
      </c>
      <c r="J865" s="19">
        <v>0.68400000000000005</v>
      </c>
      <c r="K865" s="16">
        <v>86</v>
      </c>
      <c r="L865" s="19">
        <v>0.86799999999999999</v>
      </c>
      <c r="M865" s="19">
        <v>0.04</v>
      </c>
      <c r="N865" s="21">
        <v>51681.81</v>
      </c>
      <c r="O865" s="21">
        <v>38529.339999999997</v>
      </c>
      <c r="P865" s="26">
        <v>13152.47</v>
      </c>
    </row>
    <row r="866" spans="1:16" x14ac:dyDescent="0.3">
      <c r="A866" s="25">
        <v>865</v>
      </c>
      <c r="B866" s="16" t="s">
        <v>54</v>
      </c>
      <c r="C866" s="16">
        <v>2025</v>
      </c>
      <c r="D866" s="16" t="s">
        <v>26</v>
      </c>
      <c r="E866" s="16" t="s">
        <v>35</v>
      </c>
      <c r="F866" s="16" t="s">
        <v>29</v>
      </c>
      <c r="G866" s="16">
        <v>64</v>
      </c>
      <c r="H866" s="16">
        <v>11477</v>
      </c>
      <c r="I866" s="16">
        <v>249.8</v>
      </c>
      <c r="J866" s="19">
        <v>0.59</v>
      </c>
      <c r="K866" s="16">
        <v>80.400000000000006</v>
      </c>
      <c r="L866" s="19">
        <v>0.83399999999999996</v>
      </c>
      <c r="M866" s="19">
        <v>3.1E-2</v>
      </c>
      <c r="N866" s="21">
        <v>69345.460000000006</v>
      </c>
      <c r="O866" s="21">
        <v>45380.46</v>
      </c>
      <c r="P866" s="26">
        <v>23965</v>
      </c>
    </row>
    <row r="867" spans="1:16" x14ac:dyDescent="0.3">
      <c r="A867" s="25">
        <v>866</v>
      </c>
      <c r="B867" s="16" t="s">
        <v>54</v>
      </c>
      <c r="C867" s="16">
        <v>2025</v>
      </c>
      <c r="D867" s="16" t="s">
        <v>26</v>
      </c>
      <c r="E867" s="16" t="s">
        <v>32</v>
      </c>
      <c r="F867" s="16" t="s">
        <v>33</v>
      </c>
      <c r="G867" s="16">
        <v>67</v>
      </c>
      <c r="H867" s="16">
        <v>11540</v>
      </c>
      <c r="I867" s="16">
        <v>530.29999999999995</v>
      </c>
      <c r="J867" s="19">
        <v>0.70799999999999996</v>
      </c>
      <c r="K867" s="16">
        <v>78.900000000000006</v>
      </c>
      <c r="L867" s="19">
        <v>0.89400000000000002</v>
      </c>
      <c r="M867" s="19">
        <v>2.3E-2</v>
      </c>
      <c r="N867" s="21">
        <v>77389.009999999995</v>
      </c>
      <c r="O867" s="21">
        <v>59169.279999999999</v>
      </c>
      <c r="P867" s="26">
        <v>18219.73</v>
      </c>
    </row>
    <row r="868" spans="1:16" x14ac:dyDescent="0.3">
      <c r="A868" s="25">
        <v>867</v>
      </c>
      <c r="B868" s="16" t="s">
        <v>54</v>
      </c>
      <c r="C868" s="16">
        <v>2025</v>
      </c>
      <c r="D868" s="16" t="s">
        <v>26</v>
      </c>
      <c r="E868" s="16" t="s">
        <v>34</v>
      </c>
      <c r="F868" s="16" t="s">
        <v>33</v>
      </c>
      <c r="G868" s="16">
        <v>46</v>
      </c>
      <c r="H868" s="16">
        <v>8247</v>
      </c>
      <c r="I868" s="16">
        <v>411.6</v>
      </c>
      <c r="J868" s="19">
        <v>0.76400000000000001</v>
      </c>
      <c r="K868" s="16">
        <v>83.6</v>
      </c>
      <c r="L868" s="19">
        <v>0.84399999999999997</v>
      </c>
      <c r="M868" s="19">
        <v>4.3999999999999997E-2</v>
      </c>
      <c r="N868" s="21">
        <v>44597.99</v>
      </c>
      <c r="O868" s="21">
        <v>34279.42</v>
      </c>
      <c r="P868" s="26">
        <v>10318.57</v>
      </c>
    </row>
    <row r="869" spans="1:16" x14ac:dyDescent="0.3">
      <c r="A869" s="25">
        <v>868</v>
      </c>
      <c r="B869" s="16" t="s">
        <v>54</v>
      </c>
      <c r="C869" s="16">
        <v>2025</v>
      </c>
      <c r="D869" s="16" t="s">
        <v>26</v>
      </c>
      <c r="E869" s="16" t="s">
        <v>31</v>
      </c>
      <c r="F869" s="16" t="s">
        <v>33</v>
      </c>
      <c r="G869" s="16">
        <v>59</v>
      </c>
      <c r="H869" s="16">
        <v>11128</v>
      </c>
      <c r="I869" s="16">
        <v>439.7</v>
      </c>
      <c r="J869" s="19">
        <v>0.64800000000000002</v>
      </c>
      <c r="K869" s="16">
        <v>91.7</v>
      </c>
      <c r="L869" s="19">
        <v>0.751</v>
      </c>
      <c r="M869" s="19">
        <v>4.2000000000000003E-2</v>
      </c>
      <c r="N869" s="21">
        <v>63463.27</v>
      </c>
      <c r="O869" s="21">
        <v>49361.02</v>
      </c>
      <c r="P869" s="26">
        <v>14102.25</v>
      </c>
    </row>
    <row r="870" spans="1:16" x14ac:dyDescent="0.3">
      <c r="A870" s="25">
        <v>869</v>
      </c>
      <c r="B870" s="16" t="s">
        <v>54</v>
      </c>
      <c r="C870" s="16">
        <v>2025</v>
      </c>
      <c r="D870" s="16" t="s">
        <v>26</v>
      </c>
      <c r="E870" s="16" t="s">
        <v>35</v>
      </c>
      <c r="F870" s="16" t="s">
        <v>33</v>
      </c>
      <c r="G870" s="16">
        <v>76</v>
      </c>
      <c r="H870" s="16">
        <v>12922</v>
      </c>
      <c r="I870" s="16">
        <v>460.4</v>
      </c>
      <c r="J870" s="19">
        <v>0.72299999999999998</v>
      </c>
      <c r="K870" s="16">
        <v>78.400000000000006</v>
      </c>
      <c r="L870" s="19">
        <v>0.96299999999999997</v>
      </c>
      <c r="M870" s="19">
        <v>1.0999999999999999E-2</v>
      </c>
      <c r="N870" s="21">
        <v>70435.48</v>
      </c>
      <c r="O870" s="21">
        <v>44503.54</v>
      </c>
      <c r="P870" s="26">
        <v>25931.94</v>
      </c>
    </row>
    <row r="871" spans="1:16" x14ac:dyDescent="0.3">
      <c r="A871" s="25">
        <v>870</v>
      </c>
      <c r="B871" s="16" t="s">
        <v>54</v>
      </c>
      <c r="C871" s="16">
        <v>2025</v>
      </c>
      <c r="D871" s="16" t="s">
        <v>26</v>
      </c>
      <c r="E871" s="16" t="s">
        <v>27</v>
      </c>
      <c r="F871" s="16" t="s">
        <v>36</v>
      </c>
      <c r="G871" s="16">
        <v>58</v>
      </c>
      <c r="H871" s="16">
        <v>10655</v>
      </c>
      <c r="I871" s="16">
        <v>930.9</v>
      </c>
      <c r="J871" s="19">
        <v>0.67400000000000004</v>
      </c>
      <c r="K871" s="16">
        <v>86.1</v>
      </c>
      <c r="L871" s="19">
        <v>0.95799999999999996</v>
      </c>
      <c r="M871" s="19">
        <v>3.5000000000000003E-2</v>
      </c>
      <c r="N871" s="21">
        <v>50778.04</v>
      </c>
      <c r="O871" s="21">
        <v>38250.54</v>
      </c>
      <c r="P871" s="26">
        <v>12527.5</v>
      </c>
    </row>
    <row r="872" spans="1:16" x14ac:dyDescent="0.3">
      <c r="A872" s="25">
        <v>871</v>
      </c>
      <c r="B872" s="16" t="s">
        <v>54</v>
      </c>
      <c r="C872" s="16">
        <v>2025</v>
      </c>
      <c r="D872" s="16" t="s">
        <v>26</v>
      </c>
      <c r="E872" s="16" t="s">
        <v>30</v>
      </c>
      <c r="F872" s="16" t="s">
        <v>36</v>
      </c>
      <c r="G872" s="16">
        <v>42</v>
      </c>
      <c r="H872" s="16">
        <v>7073</v>
      </c>
      <c r="I872" s="16">
        <v>871.9</v>
      </c>
      <c r="J872" s="19">
        <v>0.63800000000000001</v>
      </c>
      <c r="K872" s="16">
        <v>86.3</v>
      </c>
      <c r="L872" s="19">
        <v>0.86699999999999999</v>
      </c>
      <c r="M872" s="19">
        <v>5.0999999999999997E-2</v>
      </c>
      <c r="N872" s="21">
        <v>44640.23</v>
      </c>
      <c r="O872" s="21">
        <v>29368.26</v>
      </c>
      <c r="P872" s="26">
        <v>15271.97</v>
      </c>
    </row>
    <row r="873" spans="1:16" x14ac:dyDescent="0.3">
      <c r="A873" s="25">
        <v>872</v>
      </c>
      <c r="B873" s="16" t="s">
        <v>54</v>
      </c>
      <c r="C873" s="16">
        <v>2025</v>
      </c>
      <c r="D873" s="16" t="s">
        <v>26</v>
      </c>
      <c r="E873" s="16" t="s">
        <v>35</v>
      </c>
      <c r="F873" s="16" t="s">
        <v>36</v>
      </c>
      <c r="G873" s="16">
        <v>38</v>
      </c>
      <c r="H873" s="16">
        <v>6820</v>
      </c>
      <c r="I873" s="16">
        <v>864.2</v>
      </c>
      <c r="J873" s="19">
        <v>0.77200000000000002</v>
      </c>
      <c r="K873" s="16">
        <v>76.5</v>
      </c>
      <c r="L873" s="19">
        <v>0.98799999999999999</v>
      </c>
      <c r="M873" s="19">
        <v>3.6999999999999998E-2</v>
      </c>
      <c r="N873" s="21">
        <v>51848.87</v>
      </c>
      <c r="O873" s="21">
        <v>39844.89</v>
      </c>
      <c r="P873" s="26">
        <v>12003.98</v>
      </c>
    </row>
    <row r="874" spans="1:16" x14ac:dyDescent="0.3">
      <c r="A874" s="25">
        <v>873</v>
      </c>
      <c r="B874" s="16" t="s">
        <v>54</v>
      </c>
      <c r="C874" s="16">
        <v>2025</v>
      </c>
      <c r="D874" s="16" t="s">
        <v>26</v>
      </c>
      <c r="E874" s="16" t="s">
        <v>34</v>
      </c>
      <c r="F874" s="16" t="s">
        <v>37</v>
      </c>
      <c r="G874" s="16">
        <v>49</v>
      </c>
      <c r="H874" s="16">
        <v>7632</v>
      </c>
      <c r="I874" s="16">
        <v>648</v>
      </c>
      <c r="J874" s="19">
        <v>0.63400000000000001</v>
      </c>
      <c r="K874" s="16">
        <v>81.900000000000006</v>
      </c>
      <c r="L874" s="19">
        <v>0.98</v>
      </c>
      <c r="M874" s="19">
        <v>1.7999999999999999E-2</v>
      </c>
      <c r="N874" s="21">
        <v>42732.68</v>
      </c>
      <c r="O874" s="21">
        <v>32348.76</v>
      </c>
      <c r="P874" s="26">
        <v>10383.92</v>
      </c>
    </row>
    <row r="875" spans="1:16" x14ac:dyDescent="0.3">
      <c r="A875" s="25">
        <v>874</v>
      </c>
      <c r="B875" s="16" t="s">
        <v>54</v>
      </c>
      <c r="C875" s="16">
        <v>2025</v>
      </c>
      <c r="D875" s="16" t="s">
        <v>26</v>
      </c>
      <c r="E875" s="16" t="s">
        <v>35</v>
      </c>
      <c r="F875" s="16" t="s">
        <v>37</v>
      </c>
      <c r="G875" s="16">
        <v>27</v>
      </c>
      <c r="H875" s="16">
        <v>4629</v>
      </c>
      <c r="I875" s="16">
        <v>630.9</v>
      </c>
      <c r="J875" s="19">
        <v>0.67</v>
      </c>
      <c r="K875" s="16">
        <v>74.7</v>
      </c>
      <c r="L875" s="19">
        <v>0.85599999999999998</v>
      </c>
      <c r="M875" s="19">
        <v>3.5999999999999997E-2</v>
      </c>
      <c r="N875" s="21">
        <v>30117.74</v>
      </c>
      <c r="O875" s="21">
        <v>22839.65</v>
      </c>
      <c r="P875" s="26">
        <v>7278.09</v>
      </c>
    </row>
    <row r="876" spans="1:16" x14ac:dyDescent="0.3">
      <c r="A876" s="25">
        <v>875</v>
      </c>
      <c r="B876" s="16" t="s">
        <v>54</v>
      </c>
      <c r="C876" s="16">
        <v>2025</v>
      </c>
      <c r="D876" s="16" t="s">
        <v>38</v>
      </c>
      <c r="E876" s="16" t="s">
        <v>27</v>
      </c>
      <c r="F876" s="16" t="s">
        <v>28</v>
      </c>
      <c r="G876" s="16">
        <v>17</v>
      </c>
      <c r="H876" s="16">
        <v>3647</v>
      </c>
      <c r="I876" s="16">
        <v>444.4</v>
      </c>
      <c r="J876" s="19">
        <v>0.73399999999999999</v>
      </c>
      <c r="K876" s="16">
        <v>79.3</v>
      </c>
      <c r="L876" s="19">
        <v>0.88500000000000001</v>
      </c>
      <c r="M876" s="19">
        <v>3.9E-2</v>
      </c>
      <c r="N876" s="21">
        <v>17109.29</v>
      </c>
      <c r="O876" s="21">
        <v>11837.85</v>
      </c>
      <c r="P876" s="26">
        <v>5271.44</v>
      </c>
    </row>
    <row r="877" spans="1:16" x14ac:dyDescent="0.3">
      <c r="A877" s="25">
        <v>876</v>
      </c>
      <c r="B877" s="16" t="s">
        <v>54</v>
      </c>
      <c r="C877" s="16">
        <v>2025</v>
      </c>
      <c r="D877" s="16" t="s">
        <v>38</v>
      </c>
      <c r="E877" s="16" t="s">
        <v>30</v>
      </c>
      <c r="F877" s="16" t="s">
        <v>28</v>
      </c>
      <c r="G877" s="16">
        <v>74</v>
      </c>
      <c r="H877" s="16">
        <v>15515</v>
      </c>
      <c r="I877" s="16">
        <v>380</v>
      </c>
      <c r="J877" s="19">
        <v>0.84199999999999997</v>
      </c>
      <c r="K877" s="16">
        <v>80.7</v>
      </c>
      <c r="L877" s="19">
        <v>0.875</v>
      </c>
      <c r="M877" s="19">
        <v>1.2999999999999999E-2</v>
      </c>
      <c r="N877" s="21">
        <v>117598.31</v>
      </c>
      <c r="O877" s="21">
        <v>73016.210000000006</v>
      </c>
      <c r="P877" s="26">
        <v>44582.1</v>
      </c>
    </row>
    <row r="878" spans="1:16" x14ac:dyDescent="0.3">
      <c r="A878" s="25">
        <v>877</v>
      </c>
      <c r="B878" s="16" t="s">
        <v>54</v>
      </c>
      <c r="C878" s="16">
        <v>2025</v>
      </c>
      <c r="D878" s="16" t="s">
        <v>38</v>
      </c>
      <c r="E878" s="16" t="s">
        <v>27</v>
      </c>
      <c r="F878" s="16" t="s">
        <v>29</v>
      </c>
      <c r="G878" s="16">
        <v>35</v>
      </c>
      <c r="H878" s="16">
        <v>6882</v>
      </c>
      <c r="I878" s="16">
        <v>307.89999999999998</v>
      </c>
      <c r="J878" s="19">
        <v>0.499</v>
      </c>
      <c r="K878" s="16">
        <v>83.1</v>
      </c>
      <c r="L878" s="19">
        <v>0.90100000000000002</v>
      </c>
      <c r="M878" s="19">
        <v>3.5999999999999997E-2</v>
      </c>
      <c r="N878" s="21">
        <v>41387</v>
      </c>
      <c r="O878" s="21">
        <v>30257.37</v>
      </c>
      <c r="P878" s="26">
        <v>11129.63</v>
      </c>
    </row>
    <row r="879" spans="1:16" x14ac:dyDescent="0.3">
      <c r="A879" s="25">
        <v>878</v>
      </c>
      <c r="B879" s="16" t="s">
        <v>54</v>
      </c>
      <c r="C879" s="16">
        <v>2025</v>
      </c>
      <c r="D879" s="16" t="s">
        <v>38</v>
      </c>
      <c r="E879" s="16" t="s">
        <v>34</v>
      </c>
      <c r="F879" s="16" t="s">
        <v>29</v>
      </c>
      <c r="G879" s="16">
        <v>42</v>
      </c>
      <c r="H879" s="16">
        <v>6113</v>
      </c>
      <c r="I879" s="16">
        <v>246.3</v>
      </c>
      <c r="J879" s="19">
        <v>0.69399999999999995</v>
      </c>
      <c r="K879" s="16">
        <v>79.599999999999994</v>
      </c>
      <c r="L879" s="19">
        <v>0.85599999999999998</v>
      </c>
      <c r="M879" s="19">
        <v>2.8000000000000001E-2</v>
      </c>
      <c r="N879" s="21">
        <v>52234.97</v>
      </c>
      <c r="O879" s="21">
        <v>36945.269999999997</v>
      </c>
      <c r="P879" s="26">
        <v>15289.7</v>
      </c>
    </row>
    <row r="880" spans="1:16" x14ac:dyDescent="0.3">
      <c r="A880" s="25">
        <v>879</v>
      </c>
      <c r="B880" s="16" t="s">
        <v>54</v>
      </c>
      <c r="C880" s="16">
        <v>2025</v>
      </c>
      <c r="D880" s="16" t="s">
        <v>38</v>
      </c>
      <c r="E880" s="16" t="s">
        <v>31</v>
      </c>
      <c r="F880" s="16" t="s">
        <v>29</v>
      </c>
      <c r="G880" s="16">
        <v>30</v>
      </c>
      <c r="H880" s="16">
        <v>6122</v>
      </c>
      <c r="I880" s="16">
        <v>369</v>
      </c>
      <c r="J880" s="19">
        <v>0.68</v>
      </c>
      <c r="K880" s="16">
        <v>85.5</v>
      </c>
      <c r="L880" s="19">
        <v>0.80100000000000005</v>
      </c>
      <c r="M880" s="19">
        <v>4.3999999999999997E-2</v>
      </c>
      <c r="N880" s="21">
        <v>48657.94</v>
      </c>
      <c r="O880" s="21">
        <v>35162.720000000001</v>
      </c>
      <c r="P880" s="26">
        <v>13495.22</v>
      </c>
    </row>
    <row r="881" spans="1:16" x14ac:dyDescent="0.3">
      <c r="A881" s="25">
        <v>880</v>
      </c>
      <c r="B881" s="16" t="s">
        <v>54</v>
      </c>
      <c r="C881" s="16">
        <v>2025</v>
      </c>
      <c r="D881" s="16" t="s">
        <v>38</v>
      </c>
      <c r="E881" s="16" t="s">
        <v>35</v>
      </c>
      <c r="F881" s="16" t="s">
        <v>29</v>
      </c>
      <c r="G881" s="16">
        <v>47</v>
      </c>
      <c r="H881" s="16">
        <v>7076</v>
      </c>
      <c r="I881" s="16">
        <v>286.7</v>
      </c>
      <c r="J881" s="19">
        <v>0.67700000000000005</v>
      </c>
      <c r="K881" s="16">
        <v>75.5</v>
      </c>
      <c r="L881" s="19">
        <v>0.82899999999999996</v>
      </c>
      <c r="M881" s="19">
        <v>3.1E-2</v>
      </c>
      <c r="N881" s="21">
        <v>57428.35</v>
      </c>
      <c r="O881" s="21">
        <v>38946.78</v>
      </c>
      <c r="P881" s="26">
        <v>18481.57</v>
      </c>
    </row>
    <row r="882" spans="1:16" x14ac:dyDescent="0.3">
      <c r="A882" s="25">
        <v>881</v>
      </c>
      <c r="B882" s="16" t="s">
        <v>54</v>
      </c>
      <c r="C882" s="16">
        <v>2025</v>
      </c>
      <c r="D882" s="16" t="s">
        <v>38</v>
      </c>
      <c r="E882" s="16" t="s">
        <v>27</v>
      </c>
      <c r="F882" s="16" t="s">
        <v>33</v>
      </c>
      <c r="G882" s="16">
        <v>42</v>
      </c>
      <c r="H882" s="16">
        <v>7207</v>
      </c>
      <c r="I882" s="16">
        <v>483.9</v>
      </c>
      <c r="J882" s="19">
        <v>0.64300000000000002</v>
      </c>
      <c r="K882" s="16">
        <v>78.8</v>
      </c>
      <c r="L882" s="19">
        <v>0.85199999999999998</v>
      </c>
      <c r="M882" s="19">
        <v>3.5999999999999997E-2</v>
      </c>
      <c r="N882" s="21">
        <v>59947.64</v>
      </c>
      <c r="O882" s="21">
        <v>46012.27</v>
      </c>
      <c r="P882" s="26">
        <v>13935.37</v>
      </c>
    </row>
    <row r="883" spans="1:16" x14ac:dyDescent="0.3">
      <c r="A883" s="25">
        <v>882</v>
      </c>
      <c r="B883" s="16" t="s">
        <v>54</v>
      </c>
      <c r="C883" s="16">
        <v>2025</v>
      </c>
      <c r="D883" s="16" t="s">
        <v>38</v>
      </c>
      <c r="E883" s="16" t="s">
        <v>30</v>
      </c>
      <c r="F883" s="16" t="s">
        <v>33</v>
      </c>
      <c r="G883" s="16">
        <v>72</v>
      </c>
      <c r="H883" s="16">
        <v>12512</v>
      </c>
      <c r="I883" s="16">
        <v>457</v>
      </c>
      <c r="J883" s="19">
        <v>0.79200000000000004</v>
      </c>
      <c r="K883" s="16">
        <v>88.5</v>
      </c>
      <c r="L883" s="19">
        <v>0.98299999999999998</v>
      </c>
      <c r="M883" s="19">
        <v>0.03</v>
      </c>
      <c r="N883" s="21">
        <v>100807.82</v>
      </c>
      <c r="O883" s="21">
        <v>74947.28</v>
      </c>
      <c r="P883" s="26">
        <v>25860.54</v>
      </c>
    </row>
    <row r="884" spans="1:16" x14ac:dyDescent="0.3">
      <c r="A884" s="25">
        <v>883</v>
      </c>
      <c r="B884" s="16" t="s">
        <v>54</v>
      </c>
      <c r="C884" s="16">
        <v>2025</v>
      </c>
      <c r="D884" s="16" t="s">
        <v>38</v>
      </c>
      <c r="E884" s="16" t="s">
        <v>34</v>
      </c>
      <c r="F884" s="16" t="s">
        <v>33</v>
      </c>
      <c r="G884" s="16">
        <v>34</v>
      </c>
      <c r="H884" s="16">
        <v>6206</v>
      </c>
      <c r="I884" s="16">
        <v>535.9</v>
      </c>
      <c r="J884" s="19">
        <v>0.76700000000000002</v>
      </c>
      <c r="K884" s="16">
        <v>86.2</v>
      </c>
      <c r="L884" s="19">
        <v>0.92</v>
      </c>
      <c r="M884" s="19">
        <v>0.03</v>
      </c>
      <c r="N884" s="21">
        <v>52768.03</v>
      </c>
      <c r="O884" s="21">
        <v>41007.43</v>
      </c>
      <c r="P884" s="26">
        <v>11760.6</v>
      </c>
    </row>
    <row r="885" spans="1:16" x14ac:dyDescent="0.3">
      <c r="A885" s="25">
        <v>884</v>
      </c>
      <c r="B885" s="16" t="s">
        <v>54</v>
      </c>
      <c r="C885" s="16">
        <v>2025</v>
      </c>
      <c r="D885" s="16" t="s">
        <v>38</v>
      </c>
      <c r="E885" s="16" t="s">
        <v>35</v>
      </c>
      <c r="F885" s="16" t="s">
        <v>33</v>
      </c>
      <c r="G885" s="16">
        <v>40</v>
      </c>
      <c r="H885" s="16">
        <v>8104</v>
      </c>
      <c r="I885" s="16">
        <v>495.2</v>
      </c>
      <c r="J885" s="19">
        <v>0.83299999999999996</v>
      </c>
      <c r="K885" s="16">
        <v>86.4</v>
      </c>
      <c r="L885" s="19">
        <v>0.97099999999999997</v>
      </c>
      <c r="M885" s="19">
        <v>2.1999999999999999E-2</v>
      </c>
      <c r="N885" s="21">
        <v>55104.55</v>
      </c>
      <c r="O885" s="21">
        <v>40849.040000000001</v>
      </c>
      <c r="P885" s="26">
        <v>14255.51</v>
      </c>
    </row>
    <row r="886" spans="1:16" x14ac:dyDescent="0.3">
      <c r="A886" s="25">
        <v>885</v>
      </c>
      <c r="B886" s="16" t="s">
        <v>54</v>
      </c>
      <c r="C886" s="16">
        <v>2025</v>
      </c>
      <c r="D886" s="16" t="s">
        <v>38</v>
      </c>
      <c r="E886" s="16" t="s">
        <v>32</v>
      </c>
      <c r="F886" s="16" t="s">
        <v>36</v>
      </c>
      <c r="G886" s="16">
        <v>50</v>
      </c>
      <c r="H886" s="16">
        <v>8847</v>
      </c>
      <c r="I886" s="16">
        <v>833.9</v>
      </c>
      <c r="J886" s="19">
        <v>0.64</v>
      </c>
      <c r="K886" s="16">
        <v>90.6</v>
      </c>
      <c r="L886" s="19">
        <v>1</v>
      </c>
      <c r="M886" s="19">
        <v>3.5999999999999997E-2</v>
      </c>
      <c r="N886" s="21">
        <v>53253.86</v>
      </c>
      <c r="O886" s="21">
        <v>40313.589999999997</v>
      </c>
      <c r="P886" s="26">
        <v>12940.27</v>
      </c>
    </row>
    <row r="887" spans="1:16" x14ac:dyDescent="0.3">
      <c r="A887" s="25">
        <v>886</v>
      </c>
      <c r="B887" s="16" t="s">
        <v>54</v>
      </c>
      <c r="C887" s="16">
        <v>2025</v>
      </c>
      <c r="D887" s="16" t="s">
        <v>38</v>
      </c>
      <c r="E887" s="16" t="s">
        <v>35</v>
      </c>
      <c r="F887" s="16" t="s">
        <v>36</v>
      </c>
      <c r="G887" s="16">
        <v>44</v>
      </c>
      <c r="H887" s="16">
        <v>7511</v>
      </c>
      <c r="I887" s="16">
        <v>921.3</v>
      </c>
      <c r="J887" s="19">
        <v>0.59299999999999997</v>
      </c>
      <c r="K887" s="16">
        <v>93.2</v>
      </c>
      <c r="L887" s="19">
        <v>0.77300000000000002</v>
      </c>
      <c r="M887" s="19">
        <v>2.1999999999999999E-2</v>
      </c>
      <c r="N887" s="21">
        <v>51803.89</v>
      </c>
      <c r="O887" s="21">
        <v>34570.300000000003</v>
      </c>
      <c r="P887" s="26">
        <v>17233.59</v>
      </c>
    </row>
    <row r="888" spans="1:16" x14ac:dyDescent="0.3">
      <c r="A888" s="25">
        <v>887</v>
      </c>
      <c r="B888" s="16" t="s">
        <v>54</v>
      </c>
      <c r="C888" s="16">
        <v>2025</v>
      </c>
      <c r="D888" s="16" t="s">
        <v>38</v>
      </c>
      <c r="E888" s="16" t="s">
        <v>27</v>
      </c>
      <c r="F888" s="16" t="s">
        <v>37</v>
      </c>
      <c r="G888" s="16">
        <v>37</v>
      </c>
      <c r="H888" s="16">
        <v>6995</v>
      </c>
      <c r="I888" s="16">
        <v>628.20000000000005</v>
      </c>
      <c r="J888" s="19">
        <v>0.78500000000000003</v>
      </c>
      <c r="K888" s="16">
        <v>87.1</v>
      </c>
      <c r="L888" s="19">
        <v>0.89300000000000002</v>
      </c>
      <c r="M888" s="19">
        <v>0.04</v>
      </c>
      <c r="N888" s="21">
        <v>63921.34</v>
      </c>
      <c r="O888" s="21">
        <v>44027.82</v>
      </c>
      <c r="P888" s="26">
        <v>19893.52</v>
      </c>
    </row>
    <row r="889" spans="1:16" x14ac:dyDescent="0.3">
      <c r="A889" s="25">
        <v>888</v>
      </c>
      <c r="B889" s="16" t="s">
        <v>54</v>
      </c>
      <c r="C889" s="16">
        <v>2025</v>
      </c>
      <c r="D889" s="16" t="s">
        <v>38</v>
      </c>
      <c r="E889" s="16" t="s">
        <v>34</v>
      </c>
      <c r="F889" s="16" t="s">
        <v>37</v>
      </c>
      <c r="G889" s="16">
        <v>28</v>
      </c>
      <c r="H889" s="16">
        <v>5345</v>
      </c>
      <c r="I889" s="16">
        <v>673.5</v>
      </c>
      <c r="J889" s="19">
        <v>0.70099999999999996</v>
      </c>
      <c r="K889" s="16">
        <v>80.5</v>
      </c>
      <c r="L889" s="19">
        <v>0.89800000000000002</v>
      </c>
      <c r="M889" s="19">
        <v>0.03</v>
      </c>
      <c r="N889" s="21">
        <v>34989.949999999997</v>
      </c>
      <c r="O889" s="21">
        <v>23030.19</v>
      </c>
      <c r="P889" s="26">
        <v>11959.76</v>
      </c>
    </row>
    <row r="890" spans="1:16" x14ac:dyDescent="0.3">
      <c r="A890" s="25">
        <v>889</v>
      </c>
      <c r="B890" s="16" t="s">
        <v>54</v>
      </c>
      <c r="C890" s="16">
        <v>2025</v>
      </c>
      <c r="D890" s="16" t="s">
        <v>38</v>
      </c>
      <c r="E890" s="16" t="s">
        <v>31</v>
      </c>
      <c r="F890" s="16" t="s">
        <v>37</v>
      </c>
      <c r="G890" s="16">
        <v>36</v>
      </c>
      <c r="H890" s="16">
        <v>6606</v>
      </c>
      <c r="I890" s="16">
        <v>645.29999999999995</v>
      </c>
      <c r="J890" s="19">
        <v>0.61299999999999999</v>
      </c>
      <c r="K890" s="16">
        <v>84.7</v>
      </c>
      <c r="L890" s="19">
        <v>0.84899999999999998</v>
      </c>
      <c r="M890" s="19">
        <v>2.5999999999999999E-2</v>
      </c>
      <c r="N890" s="21">
        <v>42376.04</v>
      </c>
      <c r="O890" s="21">
        <v>29557.07</v>
      </c>
      <c r="P890" s="26">
        <v>12818.97</v>
      </c>
    </row>
    <row r="891" spans="1:16" x14ac:dyDescent="0.3">
      <c r="A891" s="25">
        <v>890</v>
      </c>
      <c r="B891" s="16" t="s">
        <v>54</v>
      </c>
      <c r="C891" s="16">
        <v>2025</v>
      </c>
      <c r="D891" s="16" t="s">
        <v>39</v>
      </c>
      <c r="E891" s="16" t="s">
        <v>30</v>
      </c>
      <c r="F891" s="16" t="s">
        <v>28</v>
      </c>
      <c r="G891" s="16">
        <v>29</v>
      </c>
      <c r="H891" s="16">
        <v>4657</v>
      </c>
      <c r="I891" s="16">
        <v>489.4</v>
      </c>
      <c r="J891" s="19">
        <v>0.80300000000000005</v>
      </c>
      <c r="K891" s="16">
        <v>81.5</v>
      </c>
      <c r="L891" s="19">
        <v>0.91800000000000004</v>
      </c>
      <c r="M891" s="19">
        <v>2.8000000000000001E-2</v>
      </c>
      <c r="N891" s="21">
        <v>47491.63</v>
      </c>
      <c r="O891" s="21">
        <v>34600.22</v>
      </c>
      <c r="P891" s="26">
        <v>12891.41</v>
      </c>
    </row>
    <row r="892" spans="1:16" x14ac:dyDescent="0.3">
      <c r="A892" s="25">
        <v>891</v>
      </c>
      <c r="B892" s="16" t="s">
        <v>54</v>
      </c>
      <c r="C892" s="16">
        <v>2025</v>
      </c>
      <c r="D892" s="16" t="s">
        <v>39</v>
      </c>
      <c r="E892" s="16" t="s">
        <v>34</v>
      </c>
      <c r="F892" s="16" t="s">
        <v>28</v>
      </c>
      <c r="G892" s="16">
        <v>63</v>
      </c>
      <c r="H892" s="16">
        <v>11422</v>
      </c>
      <c r="I892" s="16">
        <v>380.9</v>
      </c>
      <c r="J892" s="19">
        <v>0.74299999999999999</v>
      </c>
      <c r="K892" s="16">
        <v>71.099999999999994</v>
      </c>
      <c r="L892" s="19">
        <v>0.95199999999999996</v>
      </c>
      <c r="M892" s="19">
        <v>0.05</v>
      </c>
      <c r="N892" s="21">
        <v>83348.31</v>
      </c>
      <c r="O892" s="21">
        <v>52942.67</v>
      </c>
      <c r="P892" s="26">
        <v>30405.64</v>
      </c>
    </row>
    <row r="893" spans="1:16" x14ac:dyDescent="0.3">
      <c r="A893" s="25">
        <v>892</v>
      </c>
      <c r="B893" s="16" t="s">
        <v>54</v>
      </c>
      <c r="C893" s="16">
        <v>2025</v>
      </c>
      <c r="D893" s="16" t="s">
        <v>39</v>
      </c>
      <c r="E893" s="16" t="s">
        <v>32</v>
      </c>
      <c r="F893" s="16" t="s">
        <v>29</v>
      </c>
      <c r="G893" s="16">
        <v>51</v>
      </c>
      <c r="H893" s="16">
        <v>9094</v>
      </c>
      <c r="I893" s="16">
        <v>333.1</v>
      </c>
      <c r="J893" s="19">
        <v>0.64400000000000002</v>
      </c>
      <c r="K893" s="16">
        <v>69.2</v>
      </c>
      <c r="L893" s="19">
        <v>0.84199999999999997</v>
      </c>
      <c r="M893" s="19">
        <v>2.7E-2</v>
      </c>
      <c r="N893" s="21">
        <v>69575.289999999994</v>
      </c>
      <c r="O893" s="21">
        <v>47497.41</v>
      </c>
      <c r="P893" s="26">
        <v>22077.88</v>
      </c>
    </row>
    <row r="894" spans="1:16" x14ac:dyDescent="0.3">
      <c r="A894" s="25">
        <v>893</v>
      </c>
      <c r="B894" s="16" t="s">
        <v>54</v>
      </c>
      <c r="C894" s="16">
        <v>2025</v>
      </c>
      <c r="D894" s="16" t="s">
        <v>39</v>
      </c>
      <c r="E894" s="16" t="s">
        <v>27</v>
      </c>
      <c r="F894" s="16" t="s">
        <v>29</v>
      </c>
      <c r="G894" s="16">
        <v>36</v>
      </c>
      <c r="H894" s="16">
        <v>6058</v>
      </c>
      <c r="I894" s="16">
        <v>284.7</v>
      </c>
      <c r="J894" s="19">
        <v>0.69399999999999995</v>
      </c>
      <c r="K894" s="16">
        <v>77.099999999999994</v>
      </c>
      <c r="L894" s="19">
        <v>0.86199999999999999</v>
      </c>
      <c r="M894" s="19">
        <v>3.4000000000000002E-2</v>
      </c>
      <c r="N894" s="21">
        <v>52797.14</v>
      </c>
      <c r="O894" s="21">
        <v>34781.32</v>
      </c>
      <c r="P894" s="26">
        <v>18015.82</v>
      </c>
    </row>
    <row r="895" spans="1:16" x14ac:dyDescent="0.3">
      <c r="A895" s="25">
        <v>894</v>
      </c>
      <c r="B895" s="16" t="s">
        <v>54</v>
      </c>
      <c r="C895" s="16">
        <v>2025</v>
      </c>
      <c r="D895" s="16" t="s">
        <v>39</v>
      </c>
      <c r="E895" s="16" t="s">
        <v>30</v>
      </c>
      <c r="F895" s="16" t="s">
        <v>29</v>
      </c>
      <c r="G895" s="16">
        <v>62</v>
      </c>
      <c r="H895" s="16">
        <v>11282</v>
      </c>
      <c r="I895" s="16">
        <v>341.8</v>
      </c>
      <c r="J895" s="19">
        <v>0.63800000000000001</v>
      </c>
      <c r="K895" s="16">
        <v>79.900000000000006</v>
      </c>
      <c r="L895" s="19">
        <v>0.89400000000000002</v>
      </c>
      <c r="M895" s="19">
        <v>0.03</v>
      </c>
      <c r="N895" s="21">
        <v>86091.64</v>
      </c>
      <c r="O895" s="21">
        <v>65580.12</v>
      </c>
      <c r="P895" s="26">
        <v>20511.52</v>
      </c>
    </row>
    <row r="896" spans="1:16" x14ac:dyDescent="0.3">
      <c r="A896" s="25">
        <v>895</v>
      </c>
      <c r="B896" s="16" t="s">
        <v>54</v>
      </c>
      <c r="C896" s="16">
        <v>2025</v>
      </c>
      <c r="D896" s="16" t="s">
        <v>39</v>
      </c>
      <c r="E896" s="16" t="s">
        <v>34</v>
      </c>
      <c r="F896" s="16" t="s">
        <v>29</v>
      </c>
      <c r="G896" s="16">
        <v>58</v>
      </c>
      <c r="H896" s="16">
        <v>8847</v>
      </c>
      <c r="I896" s="16">
        <v>357.3</v>
      </c>
      <c r="J896" s="19">
        <v>0.53800000000000003</v>
      </c>
      <c r="K896" s="16">
        <v>74.599999999999994</v>
      </c>
      <c r="L896" s="19">
        <v>0.92500000000000004</v>
      </c>
      <c r="M896" s="19">
        <v>2.9000000000000001E-2</v>
      </c>
      <c r="N896" s="21">
        <v>84484.68</v>
      </c>
      <c r="O896" s="21">
        <v>58434.89</v>
      </c>
      <c r="P896" s="26">
        <v>26049.79</v>
      </c>
    </row>
    <row r="897" spans="1:16" x14ac:dyDescent="0.3">
      <c r="A897" s="25">
        <v>896</v>
      </c>
      <c r="B897" s="16" t="s">
        <v>54</v>
      </c>
      <c r="C897" s="16">
        <v>2025</v>
      </c>
      <c r="D897" s="16" t="s">
        <v>39</v>
      </c>
      <c r="E897" s="16" t="s">
        <v>27</v>
      </c>
      <c r="F897" s="16" t="s">
        <v>33</v>
      </c>
      <c r="G897" s="16">
        <v>66</v>
      </c>
      <c r="H897" s="16">
        <v>12113</v>
      </c>
      <c r="I897" s="16">
        <v>417.2</v>
      </c>
      <c r="J897" s="19">
        <v>0.75600000000000001</v>
      </c>
      <c r="K897" s="16">
        <v>83.9</v>
      </c>
      <c r="L897" s="19">
        <v>0.93100000000000005</v>
      </c>
      <c r="M897" s="19">
        <v>4.2000000000000003E-2</v>
      </c>
      <c r="N897" s="21">
        <v>82795.350000000006</v>
      </c>
      <c r="O897" s="21">
        <v>56071.88</v>
      </c>
      <c r="P897" s="26">
        <v>26723.47</v>
      </c>
    </row>
    <row r="898" spans="1:16" x14ac:dyDescent="0.3">
      <c r="A898" s="25">
        <v>897</v>
      </c>
      <c r="B898" s="16" t="s">
        <v>54</v>
      </c>
      <c r="C898" s="16">
        <v>2025</v>
      </c>
      <c r="D898" s="16" t="s">
        <v>39</v>
      </c>
      <c r="E898" s="16" t="s">
        <v>30</v>
      </c>
      <c r="F898" s="16" t="s">
        <v>33</v>
      </c>
      <c r="G898" s="16">
        <v>77</v>
      </c>
      <c r="H898" s="16">
        <v>13303</v>
      </c>
      <c r="I898" s="16">
        <v>471.5</v>
      </c>
      <c r="J898" s="19">
        <v>0.69099999999999995</v>
      </c>
      <c r="K898" s="16">
        <v>80.5</v>
      </c>
      <c r="L898" s="19">
        <v>0.97099999999999997</v>
      </c>
      <c r="M898" s="19">
        <v>2.1999999999999999E-2</v>
      </c>
      <c r="N898" s="21">
        <v>89277.94</v>
      </c>
      <c r="O898" s="21">
        <v>66165.59</v>
      </c>
      <c r="P898" s="26">
        <v>23112.35</v>
      </c>
    </row>
    <row r="899" spans="1:16" x14ac:dyDescent="0.3">
      <c r="A899" s="25">
        <v>898</v>
      </c>
      <c r="B899" s="16" t="s">
        <v>54</v>
      </c>
      <c r="C899" s="16">
        <v>2025</v>
      </c>
      <c r="D899" s="16" t="s">
        <v>39</v>
      </c>
      <c r="E899" s="16" t="s">
        <v>34</v>
      </c>
      <c r="F899" s="16" t="s">
        <v>33</v>
      </c>
      <c r="G899" s="16">
        <v>72</v>
      </c>
      <c r="H899" s="16">
        <v>13087</v>
      </c>
      <c r="I899" s="16">
        <v>438.9</v>
      </c>
      <c r="J899" s="19">
        <v>0.73</v>
      </c>
      <c r="K899" s="16">
        <v>86</v>
      </c>
      <c r="L899" s="19">
        <v>0.92200000000000004</v>
      </c>
      <c r="M899" s="19">
        <v>3.1E-2</v>
      </c>
      <c r="N899" s="21">
        <v>125755.17</v>
      </c>
      <c r="O899" s="21">
        <v>90982.47</v>
      </c>
      <c r="P899" s="26">
        <v>34772.699999999997</v>
      </c>
    </row>
    <row r="900" spans="1:16" x14ac:dyDescent="0.3">
      <c r="A900" s="25">
        <v>899</v>
      </c>
      <c r="B900" s="16" t="s">
        <v>54</v>
      </c>
      <c r="C900" s="16">
        <v>2025</v>
      </c>
      <c r="D900" s="16" t="s">
        <v>39</v>
      </c>
      <c r="E900" s="16" t="s">
        <v>31</v>
      </c>
      <c r="F900" s="16" t="s">
        <v>33</v>
      </c>
      <c r="G900" s="16">
        <v>19</v>
      </c>
      <c r="H900" s="16">
        <v>3098</v>
      </c>
      <c r="I900" s="16">
        <v>463.8</v>
      </c>
      <c r="J900" s="19">
        <v>0.621</v>
      </c>
      <c r="K900" s="16">
        <v>77.5</v>
      </c>
      <c r="L900" s="19">
        <v>0.89400000000000002</v>
      </c>
      <c r="M900" s="19">
        <v>2.7E-2</v>
      </c>
      <c r="N900" s="21">
        <v>26760.39</v>
      </c>
      <c r="O900" s="21">
        <v>20339.310000000001</v>
      </c>
      <c r="P900" s="26">
        <v>6421.08</v>
      </c>
    </row>
    <row r="901" spans="1:16" x14ac:dyDescent="0.3">
      <c r="A901" s="25">
        <v>900</v>
      </c>
      <c r="B901" s="16" t="s">
        <v>54</v>
      </c>
      <c r="C901" s="16">
        <v>2025</v>
      </c>
      <c r="D901" s="16" t="s">
        <v>39</v>
      </c>
      <c r="E901" s="16" t="s">
        <v>30</v>
      </c>
      <c r="F901" s="16" t="s">
        <v>36</v>
      </c>
      <c r="G901" s="16">
        <v>79</v>
      </c>
      <c r="H901" s="16">
        <v>16407</v>
      </c>
      <c r="I901" s="16">
        <v>892</v>
      </c>
      <c r="J901" s="19">
        <v>0.67600000000000005</v>
      </c>
      <c r="K901" s="16">
        <v>87.1</v>
      </c>
      <c r="L901" s="19">
        <v>0.95699999999999996</v>
      </c>
      <c r="M901" s="19">
        <v>0.05</v>
      </c>
      <c r="N901" s="21">
        <v>142871.13</v>
      </c>
      <c r="O901" s="21">
        <v>94821.37</v>
      </c>
      <c r="P901" s="26">
        <v>48049.760000000002</v>
      </c>
    </row>
    <row r="902" spans="1:16" x14ac:dyDescent="0.3">
      <c r="A902" s="25">
        <v>901</v>
      </c>
      <c r="B902" s="16" t="s">
        <v>54</v>
      </c>
      <c r="C902" s="16">
        <v>2025</v>
      </c>
      <c r="D902" s="16" t="s">
        <v>39</v>
      </c>
      <c r="E902" s="16" t="s">
        <v>35</v>
      </c>
      <c r="F902" s="16" t="s">
        <v>36</v>
      </c>
      <c r="G902" s="16">
        <v>29</v>
      </c>
      <c r="H902" s="16">
        <v>5532</v>
      </c>
      <c r="I902" s="16">
        <v>907</v>
      </c>
      <c r="J902" s="19">
        <v>0.69099999999999995</v>
      </c>
      <c r="K902" s="16">
        <v>86</v>
      </c>
      <c r="L902" s="19">
        <v>0.80800000000000005</v>
      </c>
      <c r="M902" s="19">
        <v>4.2000000000000003E-2</v>
      </c>
      <c r="N902" s="21">
        <v>37746.82</v>
      </c>
      <c r="O902" s="21">
        <v>29318.41</v>
      </c>
      <c r="P902" s="26">
        <v>8428.41</v>
      </c>
    </row>
    <row r="903" spans="1:16" x14ac:dyDescent="0.3">
      <c r="A903" s="25">
        <v>902</v>
      </c>
      <c r="B903" s="16" t="s">
        <v>54</v>
      </c>
      <c r="C903" s="16">
        <v>2025</v>
      </c>
      <c r="D903" s="16" t="s">
        <v>39</v>
      </c>
      <c r="E903" s="16" t="s">
        <v>32</v>
      </c>
      <c r="F903" s="16" t="s">
        <v>37</v>
      </c>
      <c r="G903" s="16">
        <v>63</v>
      </c>
      <c r="H903" s="16">
        <v>10723</v>
      </c>
      <c r="I903" s="16">
        <v>628.1</v>
      </c>
      <c r="J903" s="19">
        <v>0.74099999999999999</v>
      </c>
      <c r="K903" s="16">
        <v>72.599999999999994</v>
      </c>
      <c r="L903" s="19">
        <v>0.92</v>
      </c>
      <c r="M903" s="19">
        <v>2.7E-2</v>
      </c>
      <c r="N903" s="21">
        <v>86454.61</v>
      </c>
      <c r="O903" s="21">
        <v>57302.28</v>
      </c>
      <c r="P903" s="26">
        <v>29152.33</v>
      </c>
    </row>
    <row r="904" spans="1:16" x14ac:dyDescent="0.3">
      <c r="A904" s="25">
        <v>903</v>
      </c>
      <c r="B904" s="16" t="s">
        <v>54</v>
      </c>
      <c r="C904" s="16">
        <v>2025</v>
      </c>
      <c r="D904" s="16" t="s">
        <v>39</v>
      </c>
      <c r="E904" s="16" t="s">
        <v>27</v>
      </c>
      <c r="F904" s="16" t="s">
        <v>37</v>
      </c>
      <c r="G904" s="16">
        <v>72</v>
      </c>
      <c r="H904" s="16">
        <v>12811</v>
      </c>
      <c r="I904" s="16">
        <v>686.9</v>
      </c>
      <c r="J904" s="19">
        <v>0.72499999999999998</v>
      </c>
      <c r="K904" s="16">
        <v>75.900000000000006</v>
      </c>
      <c r="L904" s="19">
        <v>0.92200000000000004</v>
      </c>
      <c r="M904" s="19">
        <v>8.9999999999999993E-3</v>
      </c>
      <c r="N904" s="21">
        <v>106549.5</v>
      </c>
      <c r="O904" s="21">
        <v>71644.69</v>
      </c>
      <c r="P904" s="26">
        <v>34904.81</v>
      </c>
    </row>
    <row r="905" spans="1:16" x14ac:dyDescent="0.3">
      <c r="A905" s="25">
        <v>904</v>
      </c>
      <c r="B905" s="16" t="s">
        <v>54</v>
      </c>
      <c r="C905" s="16">
        <v>2025</v>
      </c>
      <c r="D905" s="16" t="s">
        <v>39</v>
      </c>
      <c r="E905" s="16" t="s">
        <v>30</v>
      </c>
      <c r="F905" s="16" t="s">
        <v>37</v>
      </c>
      <c r="G905" s="16">
        <v>42</v>
      </c>
      <c r="H905" s="16">
        <v>9499</v>
      </c>
      <c r="I905" s="16">
        <v>601.1</v>
      </c>
      <c r="J905" s="19">
        <v>0.72399999999999998</v>
      </c>
      <c r="K905" s="16">
        <v>76.099999999999994</v>
      </c>
      <c r="L905" s="19">
        <v>0.88100000000000001</v>
      </c>
      <c r="M905" s="19">
        <v>2.7E-2</v>
      </c>
      <c r="N905" s="21">
        <v>54765.37</v>
      </c>
      <c r="O905" s="21">
        <v>40639.019999999997</v>
      </c>
      <c r="P905" s="26">
        <v>14126.35</v>
      </c>
    </row>
    <row r="906" spans="1:16" x14ac:dyDescent="0.3">
      <c r="A906" s="25">
        <v>905</v>
      </c>
      <c r="B906" s="16" t="s">
        <v>54</v>
      </c>
      <c r="C906" s="16">
        <v>2025</v>
      </c>
      <c r="D906" s="16" t="s">
        <v>39</v>
      </c>
      <c r="E906" s="16" t="s">
        <v>34</v>
      </c>
      <c r="F906" s="16" t="s">
        <v>37</v>
      </c>
      <c r="G906" s="16">
        <v>57</v>
      </c>
      <c r="H906" s="16">
        <v>10437</v>
      </c>
      <c r="I906" s="16">
        <v>620.5</v>
      </c>
      <c r="J906" s="19">
        <v>0.71099999999999997</v>
      </c>
      <c r="K906" s="16">
        <v>89.8</v>
      </c>
      <c r="L906" s="19">
        <v>0.877</v>
      </c>
      <c r="M906" s="19">
        <v>2.5999999999999999E-2</v>
      </c>
      <c r="N906" s="21">
        <v>76102.22</v>
      </c>
      <c r="O906" s="21">
        <v>52413.72</v>
      </c>
      <c r="P906" s="26">
        <v>23688.5</v>
      </c>
    </row>
    <row r="907" spans="1:16" x14ac:dyDescent="0.3">
      <c r="A907" s="25">
        <v>906</v>
      </c>
      <c r="B907" s="16" t="s">
        <v>54</v>
      </c>
      <c r="C907" s="16">
        <v>2025</v>
      </c>
      <c r="D907" s="16" t="s">
        <v>40</v>
      </c>
      <c r="E907" s="16" t="s">
        <v>32</v>
      </c>
      <c r="F907" s="16" t="s">
        <v>28</v>
      </c>
      <c r="G907" s="16">
        <v>22</v>
      </c>
      <c r="H907" s="16">
        <v>4351</v>
      </c>
      <c r="I907" s="16">
        <v>376.7</v>
      </c>
      <c r="J907" s="19">
        <v>0.76</v>
      </c>
      <c r="K907" s="16">
        <v>90.3</v>
      </c>
      <c r="L907" s="19">
        <v>0.80800000000000005</v>
      </c>
      <c r="M907" s="19">
        <v>1.0999999999999999E-2</v>
      </c>
      <c r="N907" s="21">
        <v>32966.639999999999</v>
      </c>
      <c r="O907" s="21">
        <v>22252.86</v>
      </c>
      <c r="P907" s="26">
        <v>10713.78</v>
      </c>
    </row>
    <row r="908" spans="1:16" x14ac:dyDescent="0.3">
      <c r="A908" s="25">
        <v>907</v>
      </c>
      <c r="B908" s="16" t="s">
        <v>54</v>
      </c>
      <c r="C908" s="16">
        <v>2025</v>
      </c>
      <c r="D908" s="16" t="s">
        <v>40</v>
      </c>
      <c r="E908" s="16" t="s">
        <v>27</v>
      </c>
      <c r="F908" s="16" t="s">
        <v>28</v>
      </c>
      <c r="G908" s="16">
        <v>56</v>
      </c>
      <c r="H908" s="16">
        <v>10859</v>
      </c>
      <c r="I908" s="16">
        <v>337.6</v>
      </c>
      <c r="J908" s="19">
        <v>0.82799999999999996</v>
      </c>
      <c r="K908" s="16">
        <v>87.4</v>
      </c>
      <c r="L908" s="19">
        <v>0.97499999999999998</v>
      </c>
      <c r="M908" s="19">
        <v>2.1999999999999999E-2</v>
      </c>
      <c r="N908" s="21">
        <v>99505.72</v>
      </c>
      <c r="O908" s="21">
        <v>62298.51</v>
      </c>
      <c r="P908" s="26">
        <v>37207.21</v>
      </c>
    </row>
    <row r="909" spans="1:16" x14ac:dyDescent="0.3">
      <c r="A909" s="25">
        <v>908</v>
      </c>
      <c r="B909" s="16" t="s">
        <v>54</v>
      </c>
      <c r="C909" s="16">
        <v>2025</v>
      </c>
      <c r="D909" s="16" t="s">
        <v>40</v>
      </c>
      <c r="E909" s="16" t="s">
        <v>30</v>
      </c>
      <c r="F909" s="16" t="s">
        <v>28</v>
      </c>
      <c r="G909" s="16">
        <v>33</v>
      </c>
      <c r="H909" s="16">
        <v>5937</v>
      </c>
      <c r="I909" s="16">
        <v>442.8</v>
      </c>
      <c r="J909" s="19">
        <v>0.76100000000000001</v>
      </c>
      <c r="K909" s="16">
        <v>72</v>
      </c>
      <c r="L909" s="19">
        <v>0.91100000000000003</v>
      </c>
      <c r="M909" s="19">
        <v>3.7999999999999999E-2</v>
      </c>
      <c r="N909" s="21">
        <v>45266.23</v>
      </c>
      <c r="O909" s="21">
        <v>33155.53</v>
      </c>
      <c r="P909" s="26">
        <v>12110.7</v>
      </c>
    </row>
    <row r="910" spans="1:16" x14ac:dyDescent="0.3">
      <c r="A910" s="25">
        <v>909</v>
      </c>
      <c r="B910" s="16" t="s">
        <v>54</v>
      </c>
      <c r="C910" s="16">
        <v>2025</v>
      </c>
      <c r="D910" s="16" t="s">
        <v>40</v>
      </c>
      <c r="E910" s="16" t="s">
        <v>34</v>
      </c>
      <c r="F910" s="16" t="s">
        <v>28</v>
      </c>
      <c r="G910" s="16">
        <v>5</v>
      </c>
      <c r="H910" s="16">
        <v>952</v>
      </c>
      <c r="I910" s="16">
        <v>362.9</v>
      </c>
      <c r="J910" s="19">
        <v>0.81</v>
      </c>
      <c r="K910" s="16">
        <v>83.6</v>
      </c>
      <c r="L910" s="19">
        <v>0.87</v>
      </c>
      <c r="M910" s="19">
        <v>3.1E-2</v>
      </c>
      <c r="N910" s="21">
        <v>5636.18</v>
      </c>
      <c r="O910" s="21">
        <v>4220.99</v>
      </c>
      <c r="P910" s="26">
        <v>1415.19</v>
      </c>
    </row>
    <row r="911" spans="1:16" x14ac:dyDescent="0.3">
      <c r="A911" s="25">
        <v>910</v>
      </c>
      <c r="B911" s="16" t="s">
        <v>54</v>
      </c>
      <c r="C911" s="16">
        <v>2025</v>
      </c>
      <c r="D911" s="16" t="s">
        <v>40</v>
      </c>
      <c r="E911" s="16" t="s">
        <v>32</v>
      </c>
      <c r="F911" s="16" t="s">
        <v>29</v>
      </c>
      <c r="G911" s="16">
        <v>66</v>
      </c>
      <c r="H911" s="16">
        <v>10965</v>
      </c>
      <c r="I911" s="16">
        <v>314.5</v>
      </c>
      <c r="J911" s="19">
        <v>0.61899999999999999</v>
      </c>
      <c r="K911" s="16">
        <v>80.900000000000006</v>
      </c>
      <c r="L911" s="19">
        <v>0.82599999999999996</v>
      </c>
      <c r="M911" s="19">
        <v>3.4000000000000002E-2</v>
      </c>
      <c r="N911" s="21">
        <v>75094.789999999994</v>
      </c>
      <c r="O911" s="21">
        <v>53970.76</v>
      </c>
      <c r="P911" s="26">
        <v>21124.03</v>
      </c>
    </row>
    <row r="912" spans="1:16" x14ac:dyDescent="0.3">
      <c r="A912" s="25">
        <v>911</v>
      </c>
      <c r="B912" s="16" t="s">
        <v>54</v>
      </c>
      <c r="C912" s="16">
        <v>2025</v>
      </c>
      <c r="D912" s="16" t="s">
        <v>40</v>
      </c>
      <c r="E912" s="16" t="s">
        <v>30</v>
      </c>
      <c r="F912" s="16" t="s">
        <v>29</v>
      </c>
      <c r="G912" s="16">
        <v>42</v>
      </c>
      <c r="H912" s="16">
        <v>4837</v>
      </c>
      <c r="I912" s="16">
        <v>273.60000000000002</v>
      </c>
      <c r="J912" s="19">
        <v>0.66800000000000004</v>
      </c>
      <c r="K912" s="16">
        <v>77.3</v>
      </c>
      <c r="L912" s="19">
        <v>0.99</v>
      </c>
      <c r="M912" s="19">
        <v>2.3E-2</v>
      </c>
      <c r="N912" s="21">
        <v>54876.94</v>
      </c>
      <c r="O912" s="21">
        <v>38286.51</v>
      </c>
      <c r="P912" s="26">
        <v>16590.43</v>
      </c>
    </row>
    <row r="913" spans="1:16" x14ac:dyDescent="0.3">
      <c r="A913" s="25">
        <v>912</v>
      </c>
      <c r="B913" s="16" t="s">
        <v>54</v>
      </c>
      <c r="C913" s="16">
        <v>2025</v>
      </c>
      <c r="D913" s="16" t="s">
        <v>40</v>
      </c>
      <c r="E913" s="16" t="s">
        <v>35</v>
      </c>
      <c r="F913" s="16" t="s">
        <v>29</v>
      </c>
      <c r="G913" s="16">
        <v>61</v>
      </c>
      <c r="H913" s="16">
        <v>9012</v>
      </c>
      <c r="I913" s="16">
        <v>294.5</v>
      </c>
      <c r="J913" s="19">
        <v>0.56200000000000006</v>
      </c>
      <c r="K913" s="16">
        <v>78.5</v>
      </c>
      <c r="L913" s="19">
        <v>0.89</v>
      </c>
      <c r="M913" s="19">
        <v>3.2000000000000001E-2</v>
      </c>
      <c r="N913" s="21">
        <v>69535.33</v>
      </c>
      <c r="O913" s="21">
        <v>53904.639999999999</v>
      </c>
      <c r="P913" s="26">
        <v>15630.69</v>
      </c>
    </row>
    <row r="914" spans="1:16" x14ac:dyDescent="0.3">
      <c r="A914" s="25">
        <v>913</v>
      </c>
      <c r="B914" s="16" t="s">
        <v>54</v>
      </c>
      <c r="C914" s="16">
        <v>2025</v>
      </c>
      <c r="D914" s="16" t="s">
        <v>40</v>
      </c>
      <c r="E914" s="16" t="s">
        <v>32</v>
      </c>
      <c r="F914" s="16" t="s">
        <v>33</v>
      </c>
      <c r="G914" s="16">
        <v>60</v>
      </c>
      <c r="H914" s="16">
        <v>11795</v>
      </c>
      <c r="I914" s="16">
        <v>536.9</v>
      </c>
      <c r="J914" s="19">
        <v>0.75</v>
      </c>
      <c r="K914" s="16">
        <v>76.7</v>
      </c>
      <c r="L914" s="19">
        <v>0.98099999999999998</v>
      </c>
      <c r="M914" s="19">
        <v>3.4000000000000002E-2</v>
      </c>
      <c r="N914" s="21">
        <v>114784.38</v>
      </c>
      <c r="O914" s="21">
        <v>86289.44</v>
      </c>
      <c r="P914" s="26">
        <v>28494.94</v>
      </c>
    </row>
    <row r="915" spans="1:16" x14ac:dyDescent="0.3">
      <c r="A915" s="25">
        <v>914</v>
      </c>
      <c r="B915" s="16" t="s">
        <v>54</v>
      </c>
      <c r="C915" s="16">
        <v>2025</v>
      </c>
      <c r="D915" s="16" t="s">
        <v>40</v>
      </c>
      <c r="E915" s="16" t="s">
        <v>27</v>
      </c>
      <c r="F915" s="16" t="s">
        <v>33</v>
      </c>
      <c r="G915" s="16">
        <v>73</v>
      </c>
      <c r="H915" s="16">
        <v>12388</v>
      </c>
      <c r="I915" s="16">
        <v>487.5</v>
      </c>
      <c r="J915" s="19">
        <v>0.72399999999999998</v>
      </c>
      <c r="K915" s="16">
        <v>83</v>
      </c>
      <c r="L915" s="19">
        <v>0.97699999999999998</v>
      </c>
      <c r="M915" s="19">
        <v>2.4E-2</v>
      </c>
      <c r="N915" s="21">
        <v>79847.56</v>
      </c>
      <c r="O915" s="21">
        <v>51028.98</v>
      </c>
      <c r="P915" s="26">
        <v>28818.58</v>
      </c>
    </row>
    <row r="916" spans="1:16" x14ac:dyDescent="0.3">
      <c r="A916" s="25">
        <v>915</v>
      </c>
      <c r="B916" s="16" t="s">
        <v>54</v>
      </c>
      <c r="C916" s="16">
        <v>2025</v>
      </c>
      <c r="D916" s="16" t="s">
        <v>40</v>
      </c>
      <c r="E916" s="16" t="s">
        <v>30</v>
      </c>
      <c r="F916" s="16" t="s">
        <v>33</v>
      </c>
      <c r="G916" s="16">
        <v>32</v>
      </c>
      <c r="H916" s="16">
        <v>6666</v>
      </c>
      <c r="I916" s="16">
        <v>538.1</v>
      </c>
      <c r="J916" s="19">
        <v>0.7</v>
      </c>
      <c r="K916" s="16">
        <v>93.3</v>
      </c>
      <c r="L916" s="19">
        <v>0.88400000000000001</v>
      </c>
      <c r="M916" s="19">
        <v>3.5000000000000003E-2</v>
      </c>
      <c r="N916" s="21">
        <v>29165.84</v>
      </c>
      <c r="O916" s="21">
        <v>22702.07</v>
      </c>
      <c r="P916" s="26">
        <v>6463.77</v>
      </c>
    </row>
    <row r="917" spans="1:16" x14ac:dyDescent="0.3">
      <c r="A917" s="25">
        <v>916</v>
      </c>
      <c r="B917" s="16" t="s">
        <v>54</v>
      </c>
      <c r="C917" s="16">
        <v>2025</v>
      </c>
      <c r="D917" s="16" t="s">
        <v>40</v>
      </c>
      <c r="E917" s="16" t="s">
        <v>32</v>
      </c>
      <c r="F917" s="16" t="s">
        <v>36</v>
      </c>
      <c r="G917" s="16">
        <v>36</v>
      </c>
      <c r="H917" s="16">
        <v>7315</v>
      </c>
      <c r="I917" s="16">
        <v>824.7</v>
      </c>
      <c r="J917" s="19">
        <v>0.60899999999999999</v>
      </c>
      <c r="K917" s="16">
        <v>83.9</v>
      </c>
      <c r="L917" s="19">
        <v>0.92900000000000005</v>
      </c>
      <c r="M917" s="19">
        <v>2.8000000000000001E-2</v>
      </c>
      <c r="N917" s="21">
        <v>42779.01</v>
      </c>
      <c r="O917" s="21">
        <v>29884.17</v>
      </c>
      <c r="P917" s="26">
        <v>12894.84</v>
      </c>
    </row>
    <row r="918" spans="1:16" x14ac:dyDescent="0.3">
      <c r="A918" s="25">
        <v>917</v>
      </c>
      <c r="B918" s="16" t="s">
        <v>54</v>
      </c>
      <c r="C918" s="16">
        <v>2025</v>
      </c>
      <c r="D918" s="16" t="s">
        <v>40</v>
      </c>
      <c r="E918" s="16" t="s">
        <v>27</v>
      </c>
      <c r="F918" s="16" t="s">
        <v>36</v>
      </c>
      <c r="G918" s="16">
        <v>45</v>
      </c>
      <c r="H918" s="16">
        <v>7324</v>
      </c>
      <c r="I918" s="16">
        <v>905</v>
      </c>
      <c r="J918" s="19">
        <v>0.73699999999999999</v>
      </c>
      <c r="K918" s="16">
        <v>90</v>
      </c>
      <c r="L918" s="19">
        <v>0.88500000000000001</v>
      </c>
      <c r="M918" s="19">
        <v>0.01</v>
      </c>
      <c r="N918" s="21">
        <v>67521.649999999994</v>
      </c>
      <c r="O918" s="21">
        <v>47320.43</v>
      </c>
      <c r="P918" s="26">
        <v>20201.22</v>
      </c>
    </row>
    <row r="919" spans="1:16" x14ac:dyDescent="0.3">
      <c r="A919" s="25">
        <v>918</v>
      </c>
      <c r="B919" s="16" t="s">
        <v>54</v>
      </c>
      <c r="C919" s="16">
        <v>2025</v>
      </c>
      <c r="D919" s="16" t="s">
        <v>40</v>
      </c>
      <c r="E919" s="16" t="s">
        <v>30</v>
      </c>
      <c r="F919" s="16" t="s">
        <v>36</v>
      </c>
      <c r="G919" s="16">
        <v>58</v>
      </c>
      <c r="H919" s="16">
        <v>9425</v>
      </c>
      <c r="I919" s="16">
        <v>962.3</v>
      </c>
      <c r="J919" s="19">
        <v>0.76</v>
      </c>
      <c r="K919" s="16">
        <v>77.3</v>
      </c>
      <c r="L919" s="19">
        <v>0.83699999999999997</v>
      </c>
      <c r="M919" s="19">
        <v>1.4E-2</v>
      </c>
      <c r="N919" s="21">
        <v>91573.27</v>
      </c>
      <c r="O919" s="21">
        <v>62924.09</v>
      </c>
      <c r="P919" s="26">
        <v>28649.18</v>
      </c>
    </row>
    <row r="920" spans="1:16" x14ac:dyDescent="0.3">
      <c r="A920" s="25">
        <v>919</v>
      </c>
      <c r="B920" s="16" t="s">
        <v>54</v>
      </c>
      <c r="C920" s="16">
        <v>2025</v>
      </c>
      <c r="D920" s="16" t="s">
        <v>40</v>
      </c>
      <c r="E920" s="16" t="s">
        <v>35</v>
      </c>
      <c r="F920" s="16" t="s">
        <v>36</v>
      </c>
      <c r="G920" s="16">
        <v>57</v>
      </c>
      <c r="H920" s="16">
        <v>10219</v>
      </c>
      <c r="I920" s="16">
        <v>910.4</v>
      </c>
      <c r="J920" s="19">
        <v>0.63600000000000001</v>
      </c>
      <c r="K920" s="16">
        <v>87</v>
      </c>
      <c r="L920" s="19">
        <v>0.88100000000000001</v>
      </c>
      <c r="M920" s="19">
        <v>1.9E-2</v>
      </c>
      <c r="N920" s="21">
        <v>75135.41</v>
      </c>
      <c r="O920" s="21">
        <v>57548.49</v>
      </c>
      <c r="P920" s="26">
        <v>17586.919999999998</v>
      </c>
    </row>
    <row r="921" spans="1:16" x14ac:dyDescent="0.3">
      <c r="A921" s="25">
        <v>920</v>
      </c>
      <c r="B921" s="16" t="s">
        <v>54</v>
      </c>
      <c r="C921" s="16">
        <v>2025</v>
      </c>
      <c r="D921" s="16" t="s">
        <v>40</v>
      </c>
      <c r="E921" s="16" t="s">
        <v>27</v>
      </c>
      <c r="F921" s="16" t="s">
        <v>37</v>
      </c>
      <c r="G921" s="16">
        <v>47</v>
      </c>
      <c r="H921" s="16">
        <v>8871</v>
      </c>
      <c r="I921" s="16">
        <v>718.4</v>
      </c>
      <c r="J921" s="19">
        <v>0.68</v>
      </c>
      <c r="K921" s="16">
        <v>83.1</v>
      </c>
      <c r="L921" s="19">
        <v>0.83099999999999996</v>
      </c>
      <c r="M921" s="19">
        <v>1.6E-2</v>
      </c>
      <c r="N921" s="21">
        <v>51841.38</v>
      </c>
      <c r="O921" s="21">
        <v>37632.01</v>
      </c>
      <c r="P921" s="26">
        <v>14209.37</v>
      </c>
    </row>
    <row r="922" spans="1:16" x14ac:dyDescent="0.3">
      <c r="A922" s="25">
        <v>921</v>
      </c>
      <c r="B922" s="16" t="s">
        <v>54</v>
      </c>
      <c r="C922" s="16">
        <v>2025</v>
      </c>
      <c r="D922" s="16" t="s">
        <v>40</v>
      </c>
      <c r="E922" s="16" t="s">
        <v>34</v>
      </c>
      <c r="F922" s="16" t="s">
        <v>37</v>
      </c>
      <c r="G922" s="16">
        <v>56</v>
      </c>
      <c r="H922" s="16">
        <v>9495</v>
      </c>
      <c r="I922" s="16">
        <v>696.9</v>
      </c>
      <c r="J922" s="19">
        <v>0.70399999999999996</v>
      </c>
      <c r="K922" s="16">
        <v>76.900000000000006</v>
      </c>
      <c r="L922" s="19">
        <v>0.81200000000000006</v>
      </c>
      <c r="M922" s="19">
        <v>1.2999999999999999E-2</v>
      </c>
      <c r="N922" s="21">
        <v>78683.61</v>
      </c>
      <c r="O922" s="21">
        <v>58995.79</v>
      </c>
      <c r="P922" s="26">
        <v>19687.82</v>
      </c>
    </row>
    <row r="923" spans="1:16" x14ac:dyDescent="0.3">
      <c r="A923" s="25">
        <v>922</v>
      </c>
      <c r="B923" s="16" t="s">
        <v>54</v>
      </c>
      <c r="C923" s="16">
        <v>2025</v>
      </c>
      <c r="D923" s="16" t="s">
        <v>40</v>
      </c>
      <c r="E923" s="16" t="s">
        <v>31</v>
      </c>
      <c r="F923" s="16" t="s">
        <v>37</v>
      </c>
      <c r="G923" s="16">
        <v>47</v>
      </c>
      <c r="H923" s="16">
        <v>7268</v>
      </c>
      <c r="I923" s="16">
        <v>632.70000000000005</v>
      </c>
      <c r="J923" s="19">
        <v>0.749</v>
      </c>
      <c r="K923" s="16">
        <v>78.599999999999994</v>
      </c>
      <c r="L923" s="19">
        <v>0.83499999999999996</v>
      </c>
      <c r="M923" s="19">
        <v>2.5999999999999999E-2</v>
      </c>
      <c r="N923" s="21">
        <v>70345.33</v>
      </c>
      <c r="O923" s="21">
        <v>52962.53</v>
      </c>
      <c r="P923" s="26">
        <v>17382.8</v>
      </c>
    </row>
    <row r="924" spans="1:16" x14ac:dyDescent="0.3">
      <c r="A924" s="25">
        <v>923</v>
      </c>
      <c r="B924" s="16" t="s">
        <v>54</v>
      </c>
      <c r="C924" s="16">
        <v>2025</v>
      </c>
      <c r="D924" s="16" t="s">
        <v>41</v>
      </c>
      <c r="E924" s="16" t="s">
        <v>27</v>
      </c>
      <c r="F924" s="16" t="s">
        <v>28</v>
      </c>
      <c r="G924" s="16">
        <v>47</v>
      </c>
      <c r="H924" s="16">
        <v>7911</v>
      </c>
      <c r="I924" s="16">
        <v>363.2</v>
      </c>
      <c r="J924" s="19">
        <v>0.72899999999999998</v>
      </c>
      <c r="K924" s="16">
        <v>87</v>
      </c>
      <c r="L924" s="19">
        <v>0.90900000000000003</v>
      </c>
      <c r="M924" s="19">
        <v>2.3E-2</v>
      </c>
      <c r="N924" s="21">
        <v>81581.210000000006</v>
      </c>
      <c r="O924" s="21">
        <v>57463.18</v>
      </c>
      <c r="P924" s="26">
        <v>24118.03</v>
      </c>
    </row>
    <row r="925" spans="1:16" x14ac:dyDescent="0.3">
      <c r="A925" s="25">
        <v>924</v>
      </c>
      <c r="B925" s="16" t="s">
        <v>54</v>
      </c>
      <c r="C925" s="16">
        <v>2025</v>
      </c>
      <c r="D925" s="16" t="s">
        <v>41</v>
      </c>
      <c r="E925" s="16" t="s">
        <v>30</v>
      </c>
      <c r="F925" s="16" t="s">
        <v>28</v>
      </c>
      <c r="G925" s="16">
        <v>61</v>
      </c>
      <c r="H925" s="16">
        <v>8582</v>
      </c>
      <c r="I925" s="16">
        <v>263.10000000000002</v>
      </c>
      <c r="J925" s="19">
        <v>0.79700000000000004</v>
      </c>
      <c r="K925" s="16">
        <v>78.900000000000006</v>
      </c>
      <c r="L925" s="19">
        <v>0.88200000000000001</v>
      </c>
      <c r="M925" s="19">
        <v>1.7999999999999999E-2</v>
      </c>
      <c r="N925" s="21">
        <v>143271.26</v>
      </c>
      <c r="O925" s="21">
        <v>110800.63</v>
      </c>
      <c r="P925" s="26">
        <v>32470.63</v>
      </c>
    </row>
    <row r="926" spans="1:16" x14ac:dyDescent="0.3">
      <c r="A926" s="25">
        <v>925</v>
      </c>
      <c r="B926" s="16" t="s">
        <v>54</v>
      </c>
      <c r="C926" s="16">
        <v>2025</v>
      </c>
      <c r="D926" s="16" t="s">
        <v>41</v>
      </c>
      <c r="E926" s="16" t="s">
        <v>31</v>
      </c>
      <c r="F926" s="16" t="s">
        <v>28</v>
      </c>
      <c r="G926" s="16">
        <v>52</v>
      </c>
      <c r="H926" s="16">
        <v>9948</v>
      </c>
      <c r="I926" s="16">
        <v>425.3</v>
      </c>
      <c r="J926" s="19">
        <v>0.78900000000000003</v>
      </c>
      <c r="K926" s="16">
        <v>92</v>
      </c>
      <c r="L926" s="19">
        <v>0.90700000000000003</v>
      </c>
      <c r="M926" s="19">
        <v>3.0000000000000001E-3</v>
      </c>
      <c r="N926" s="21">
        <v>83229.39</v>
      </c>
      <c r="O926" s="21">
        <v>54670.68</v>
      </c>
      <c r="P926" s="26">
        <v>28558.71</v>
      </c>
    </row>
    <row r="927" spans="1:16" x14ac:dyDescent="0.3">
      <c r="A927" s="25">
        <v>926</v>
      </c>
      <c r="B927" s="16" t="s">
        <v>54</v>
      </c>
      <c r="C927" s="16">
        <v>2025</v>
      </c>
      <c r="D927" s="16" t="s">
        <v>41</v>
      </c>
      <c r="E927" s="16" t="s">
        <v>35</v>
      </c>
      <c r="F927" s="16" t="s">
        <v>28</v>
      </c>
      <c r="G927" s="16">
        <v>8</v>
      </c>
      <c r="H927" s="16">
        <v>1587</v>
      </c>
      <c r="I927" s="16">
        <v>409.3</v>
      </c>
      <c r="J927" s="19">
        <v>0.80100000000000005</v>
      </c>
      <c r="K927" s="16">
        <v>93.1</v>
      </c>
      <c r="L927" s="19">
        <v>0.91</v>
      </c>
      <c r="M927" s="19">
        <v>2.4E-2</v>
      </c>
      <c r="N927" s="21">
        <v>15407.72</v>
      </c>
      <c r="O927" s="21">
        <v>10623.73</v>
      </c>
      <c r="P927" s="26">
        <v>4783.99</v>
      </c>
    </row>
    <row r="928" spans="1:16" x14ac:dyDescent="0.3">
      <c r="A928" s="25">
        <v>927</v>
      </c>
      <c r="B928" s="16" t="s">
        <v>54</v>
      </c>
      <c r="C928" s="16">
        <v>2025</v>
      </c>
      <c r="D928" s="16" t="s">
        <v>41</v>
      </c>
      <c r="E928" s="16" t="s">
        <v>30</v>
      </c>
      <c r="F928" s="16" t="s">
        <v>29</v>
      </c>
      <c r="G928" s="16">
        <v>46</v>
      </c>
      <c r="H928" s="16">
        <v>9622</v>
      </c>
      <c r="I928" s="16">
        <v>238.3</v>
      </c>
      <c r="J928" s="19">
        <v>0.68700000000000006</v>
      </c>
      <c r="K928" s="16">
        <v>75.099999999999994</v>
      </c>
      <c r="L928" s="19">
        <v>0.89900000000000002</v>
      </c>
      <c r="M928" s="19">
        <v>2.4E-2</v>
      </c>
      <c r="N928" s="21">
        <v>86598.720000000001</v>
      </c>
      <c r="O928" s="21">
        <v>58287.040000000001</v>
      </c>
      <c r="P928" s="26">
        <v>28311.68</v>
      </c>
    </row>
    <row r="929" spans="1:16" x14ac:dyDescent="0.3">
      <c r="A929" s="25">
        <v>928</v>
      </c>
      <c r="B929" s="16" t="s">
        <v>54</v>
      </c>
      <c r="C929" s="16">
        <v>2025</v>
      </c>
      <c r="D929" s="16" t="s">
        <v>41</v>
      </c>
      <c r="E929" s="16" t="s">
        <v>35</v>
      </c>
      <c r="F929" s="16" t="s">
        <v>29</v>
      </c>
      <c r="G929" s="16">
        <v>61</v>
      </c>
      <c r="H929" s="16">
        <v>11316</v>
      </c>
      <c r="I929" s="16">
        <v>282.2</v>
      </c>
      <c r="J929" s="19">
        <v>0.63100000000000001</v>
      </c>
      <c r="K929" s="16">
        <v>83</v>
      </c>
      <c r="L929" s="19">
        <v>0.94399999999999995</v>
      </c>
      <c r="M929" s="19">
        <v>1.7999999999999999E-2</v>
      </c>
      <c r="N929" s="21">
        <v>94899.71</v>
      </c>
      <c r="O929" s="21">
        <v>70707.45</v>
      </c>
      <c r="P929" s="26">
        <v>24192.26</v>
      </c>
    </row>
    <row r="930" spans="1:16" x14ac:dyDescent="0.3">
      <c r="A930" s="25">
        <v>929</v>
      </c>
      <c r="B930" s="16" t="s">
        <v>54</v>
      </c>
      <c r="C930" s="16">
        <v>2025</v>
      </c>
      <c r="D930" s="16" t="s">
        <v>41</v>
      </c>
      <c r="E930" s="16" t="s">
        <v>27</v>
      </c>
      <c r="F930" s="16" t="s">
        <v>33</v>
      </c>
      <c r="G930" s="16">
        <v>36</v>
      </c>
      <c r="H930" s="16">
        <v>6134</v>
      </c>
      <c r="I930" s="16">
        <v>473</v>
      </c>
      <c r="J930" s="19">
        <v>0.64800000000000002</v>
      </c>
      <c r="K930" s="16">
        <v>79.599999999999994</v>
      </c>
      <c r="L930" s="19">
        <v>0.93100000000000005</v>
      </c>
      <c r="M930" s="19">
        <v>1.4E-2</v>
      </c>
      <c r="N930" s="21">
        <v>54712.87</v>
      </c>
      <c r="O930" s="21">
        <v>42589.46</v>
      </c>
      <c r="P930" s="26">
        <v>12123.41</v>
      </c>
    </row>
    <row r="931" spans="1:16" x14ac:dyDescent="0.3">
      <c r="A931" s="25">
        <v>930</v>
      </c>
      <c r="B931" s="16" t="s">
        <v>54</v>
      </c>
      <c r="C931" s="16">
        <v>2025</v>
      </c>
      <c r="D931" s="16" t="s">
        <v>41</v>
      </c>
      <c r="E931" s="16" t="s">
        <v>30</v>
      </c>
      <c r="F931" s="16" t="s">
        <v>33</v>
      </c>
      <c r="G931" s="16">
        <v>32</v>
      </c>
      <c r="H931" s="16">
        <v>5195</v>
      </c>
      <c r="I931" s="16">
        <v>461.8</v>
      </c>
      <c r="J931" s="19">
        <v>0.71899999999999997</v>
      </c>
      <c r="K931" s="16">
        <v>98.8</v>
      </c>
      <c r="L931" s="19">
        <v>0.96099999999999997</v>
      </c>
      <c r="M931" s="19">
        <v>3.1E-2</v>
      </c>
      <c r="N931" s="21">
        <v>66520.179999999993</v>
      </c>
      <c r="O931" s="21">
        <v>44353.88</v>
      </c>
      <c r="P931" s="26">
        <v>22166.3</v>
      </c>
    </row>
    <row r="932" spans="1:16" x14ac:dyDescent="0.3">
      <c r="A932" s="25">
        <v>931</v>
      </c>
      <c r="B932" s="16" t="s">
        <v>54</v>
      </c>
      <c r="C932" s="16">
        <v>2025</v>
      </c>
      <c r="D932" s="16" t="s">
        <v>41</v>
      </c>
      <c r="E932" s="16" t="s">
        <v>31</v>
      </c>
      <c r="F932" s="16" t="s">
        <v>33</v>
      </c>
      <c r="G932" s="16">
        <v>30</v>
      </c>
      <c r="H932" s="16">
        <v>5009</v>
      </c>
      <c r="I932" s="16">
        <v>423.4</v>
      </c>
      <c r="J932" s="19">
        <v>0.69299999999999995</v>
      </c>
      <c r="K932" s="16">
        <v>86</v>
      </c>
      <c r="L932" s="19">
        <v>0.90500000000000003</v>
      </c>
      <c r="M932" s="19">
        <v>2.5000000000000001E-2</v>
      </c>
      <c r="N932" s="21">
        <v>51381.56</v>
      </c>
      <c r="O932" s="21">
        <v>33595.550000000003</v>
      </c>
      <c r="P932" s="26">
        <v>17786.009999999998</v>
      </c>
    </row>
    <row r="933" spans="1:16" x14ac:dyDescent="0.3">
      <c r="A933" s="25">
        <v>932</v>
      </c>
      <c r="B933" s="16" t="s">
        <v>54</v>
      </c>
      <c r="C933" s="16">
        <v>2025</v>
      </c>
      <c r="D933" s="16" t="s">
        <v>41</v>
      </c>
      <c r="E933" s="16" t="s">
        <v>30</v>
      </c>
      <c r="F933" s="16" t="s">
        <v>36</v>
      </c>
      <c r="G933" s="16">
        <v>40</v>
      </c>
      <c r="H933" s="16">
        <v>7766</v>
      </c>
      <c r="I933" s="16">
        <v>865.7</v>
      </c>
      <c r="J933" s="19">
        <v>0.67700000000000005</v>
      </c>
      <c r="K933" s="16">
        <v>89.8</v>
      </c>
      <c r="L933" s="19">
        <v>0.93600000000000005</v>
      </c>
      <c r="M933" s="19">
        <v>4.1000000000000002E-2</v>
      </c>
      <c r="N933" s="21">
        <v>73207.22</v>
      </c>
      <c r="O933" s="21">
        <v>54837.65</v>
      </c>
      <c r="P933" s="26">
        <v>18369.57</v>
      </c>
    </row>
    <row r="934" spans="1:16" x14ac:dyDescent="0.3">
      <c r="A934" s="25">
        <v>933</v>
      </c>
      <c r="B934" s="16" t="s">
        <v>54</v>
      </c>
      <c r="C934" s="16">
        <v>2025</v>
      </c>
      <c r="D934" s="16" t="s">
        <v>41</v>
      </c>
      <c r="E934" s="16" t="s">
        <v>35</v>
      </c>
      <c r="F934" s="16" t="s">
        <v>36</v>
      </c>
      <c r="G934" s="16">
        <v>51</v>
      </c>
      <c r="H934" s="16">
        <v>9185</v>
      </c>
      <c r="I934" s="16">
        <v>912.9</v>
      </c>
      <c r="J934" s="19">
        <v>0.70699999999999996</v>
      </c>
      <c r="K934" s="16">
        <v>88.9</v>
      </c>
      <c r="L934" s="19">
        <v>0.90400000000000003</v>
      </c>
      <c r="M934" s="19">
        <v>1.7000000000000001E-2</v>
      </c>
      <c r="N934" s="21">
        <v>75253.789999999994</v>
      </c>
      <c r="O934" s="21">
        <v>56203.68</v>
      </c>
      <c r="P934" s="26">
        <v>19050.11</v>
      </c>
    </row>
    <row r="935" spans="1:16" x14ac:dyDescent="0.3">
      <c r="A935" s="25">
        <v>934</v>
      </c>
      <c r="B935" s="16" t="s">
        <v>54</v>
      </c>
      <c r="C935" s="16">
        <v>2025</v>
      </c>
      <c r="D935" s="16" t="s">
        <v>41</v>
      </c>
      <c r="E935" s="16" t="s">
        <v>30</v>
      </c>
      <c r="F935" s="16" t="s">
        <v>37</v>
      </c>
      <c r="G935" s="16">
        <v>80</v>
      </c>
      <c r="H935" s="16">
        <v>12002</v>
      </c>
      <c r="I935" s="16">
        <v>615.6</v>
      </c>
      <c r="J935" s="19">
        <v>0.78300000000000003</v>
      </c>
      <c r="K935" s="16">
        <v>84.2</v>
      </c>
      <c r="L935" s="19">
        <v>0.82799999999999996</v>
      </c>
      <c r="M935" s="19">
        <v>1.7999999999999999E-2</v>
      </c>
      <c r="N935" s="21">
        <v>161760.16</v>
      </c>
      <c r="O935" s="21">
        <v>105257.66</v>
      </c>
      <c r="P935" s="26">
        <v>56502.5</v>
      </c>
    </row>
    <row r="936" spans="1:16" x14ac:dyDescent="0.3">
      <c r="A936" s="25">
        <v>935</v>
      </c>
      <c r="B936" s="16" t="s">
        <v>54</v>
      </c>
      <c r="C936" s="16">
        <v>2025</v>
      </c>
      <c r="D936" s="16" t="s">
        <v>41</v>
      </c>
      <c r="E936" s="16" t="s">
        <v>34</v>
      </c>
      <c r="F936" s="16" t="s">
        <v>37</v>
      </c>
      <c r="G936" s="16">
        <v>47</v>
      </c>
      <c r="H936" s="16">
        <v>8140</v>
      </c>
      <c r="I936" s="16">
        <v>670.2</v>
      </c>
      <c r="J936" s="19">
        <v>0.61299999999999999</v>
      </c>
      <c r="K936" s="16">
        <v>90.3</v>
      </c>
      <c r="L936" s="19">
        <v>0.878</v>
      </c>
      <c r="M936" s="19">
        <v>2.9000000000000001E-2</v>
      </c>
      <c r="N936" s="21">
        <v>73282.100000000006</v>
      </c>
      <c r="O936" s="21">
        <v>46357.48</v>
      </c>
      <c r="P936" s="26">
        <v>26924.62</v>
      </c>
    </row>
    <row r="937" spans="1:16" x14ac:dyDescent="0.3">
      <c r="A937" s="25">
        <v>936</v>
      </c>
      <c r="B937" s="16" t="s">
        <v>54</v>
      </c>
      <c r="C937" s="16">
        <v>2025</v>
      </c>
      <c r="D937" s="16" t="s">
        <v>41</v>
      </c>
      <c r="E937" s="16" t="s">
        <v>35</v>
      </c>
      <c r="F937" s="16" t="s">
        <v>37</v>
      </c>
      <c r="G937" s="16">
        <v>37</v>
      </c>
      <c r="H937" s="16">
        <v>6002</v>
      </c>
      <c r="I937" s="16">
        <v>669</v>
      </c>
      <c r="J937" s="19">
        <v>0.629</v>
      </c>
      <c r="K937" s="16">
        <v>89.5</v>
      </c>
      <c r="L937" s="19">
        <v>0.89700000000000002</v>
      </c>
      <c r="M937" s="19">
        <v>3.4000000000000002E-2</v>
      </c>
      <c r="N937" s="21">
        <v>69907.88</v>
      </c>
      <c r="O937" s="21">
        <v>44846.82</v>
      </c>
      <c r="P937" s="26">
        <v>25061.06</v>
      </c>
    </row>
    <row r="938" spans="1:16" x14ac:dyDescent="0.3">
      <c r="A938" s="25">
        <v>937</v>
      </c>
      <c r="B938" s="16" t="s">
        <v>55</v>
      </c>
      <c r="C938" s="16">
        <v>2025</v>
      </c>
      <c r="D938" s="16" t="s">
        <v>26</v>
      </c>
      <c r="E938" s="16" t="s">
        <v>27</v>
      </c>
      <c r="F938" s="16" t="s">
        <v>28</v>
      </c>
      <c r="G938" s="16">
        <v>60</v>
      </c>
      <c r="H938" s="16">
        <v>14245</v>
      </c>
      <c r="I938" s="16">
        <v>462.5</v>
      </c>
      <c r="J938" s="19">
        <v>0.86499999999999999</v>
      </c>
      <c r="K938" s="16">
        <v>83.1</v>
      </c>
      <c r="L938" s="19">
        <v>0.85699999999999998</v>
      </c>
      <c r="M938" s="19">
        <v>3.7999999999999999E-2</v>
      </c>
      <c r="N938" s="21">
        <v>93745.36</v>
      </c>
      <c r="O938" s="21">
        <v>68294.36</v>
      </c>
      <c r="P938" s="26">
        <v>25451</v>
      </c>
    </row>
    <row r="939" spans="1:16" x14ac:dyDescent="0.3">
      <c r="A939" s="25">
        <v>938</v>
      </c>
      <c r="B939" s="16" t="s">
        <v>55</v>
      </c>
      <c r="C939" s="16">
        <v>2025</v>
      </c>
      <c r="D939" s="16" t="s">
        <v>26</v>
      </c>
      <c r="E939" s="16" t="s">
        <v>30</v>
      </c>
      <c r="F939" s="16" t="s">
        <v>28</v>
      </c>
      <c r="G939" s="16">
        <v>71</v>
      </c>
      <c r="H939" s="16">
        <v>12184</v>
      </c>
      <c r="I939" s="16">
        <v>412.5</v>
      </c>
      <c r="J939" s="19">
        <v>0.78600000000000003</v>
      </c>
      <c r="K939" s="16">
        <v>76.900000000000006</v>
      </c>
      <c r="L939" s="19">
        <v>0.79700000000000004</v>
      </c>
      <c r="M939" s="19">
        <v>0.03</v>
      </c>
      <c r="N939" s="21">
        <v>106591.4</v>
      </c>
      <c r="O939" s="21">
        <v>66681.97</v>
      </c>
      <c r="P939" s="26">
        <v>39909.43</v>
      </c>
    </row>
    <row r="940" spans="1:16" x14ac:dyDescent="0.3">
      <c r="A940" s="25">
        <v>939</v>
      </c>
      <c r="B940" s="16" t="s">
        <v>55</v>
      </c>
      <c r="C940" s="16">
        <v>2025</v>
      </c>
      <c r="D940" s="16" t="s">
        <v>26</v>
      </c>
      <c r="E940" s="16" t="s">
        <v>32</v>
      </c>
      <c r="F940" s="16" t="s">
        <v>29</v>
      </c>
      <c r="G940" s="16">
        <v>52</v>
      </c>
      <c r="H940" s="16">
        <v>9885</v>
      </c>
      <c r="I940" s="16">
        <v>279.39999999999998</v>
      </c>
      <c r="J940" s="19">
        <v>0.68500000000000005</v>
      </c>
      <c r="K940" s="16">
        <v>74.8</v>
      </c>
      <c r="L940" s="19">
        <v>0.93799999999999994</v>
      </c>
      <c r="M940" s="19">
        <v>2.1000000000000001E-2</v>
      </c>
      <c r="N940" s="21">
        <v>65006.23</v>
      </c>
      <c r="O940" s="21">
        <v>46946.97</v>
      </c>
      <c r="P940" s="26">
        <v>18059.259999999998</v>
      </c>
    </row>
    <row r="941" spans="1:16" x14ac:dyDescent="0.3">
      <c r="A941" s="25">
        <v>940</v>
      </c>
      <c r="B941" s="16" t="s">
        <v>55</v>
      </c>
      <c r="C941" s="16">
        <v>2025</v>
      </c>
      <c r="D941" s="16" t="s">
        <v>26</v>
      </c>
      <c r="E941" s="16" t="s">
        <v>35</v>
      </c>
      <c r="F941" s="16" t="s">
        <v>29</v>
      </c>
      <c r="G941" s="16">
        <v>78</v>
      </c>
      <c r="H941" s="16">
        <v>10656</v>
      </c>
      <c r="I941" s="16">
        <v>231.7</v>
      </c>
      <c r="J941" s="19">
        <v>0.67700000000000005</v>
      </c>
      <c r="K941" s="16">
        <v>66.599999999999994</v>
      </c>
      <c r="L941" s="19">
        <v>0.97099999999999997</v>
      </c>
      <c r="M941" s="19">
        <v>8.0000000000000002E-3</v>
      </c>
      <c r="N941" s="21">
        <v>87024.960000000006</v>
      </c>
      <c r="O941" s="21">
        <v>60237.48</v>
      </c>
      <c r="P941" s="26">
        <v>26787.48</v>
      </c>
    </row>
    <row r="942" spans="1:16" x14ac:dyDescent="0.3">
      <c r="A942" s="25">
        <v>941</v>
      </c>
      <c r="B942" s="16" t="s">
        <v>55</v>
      </c>
      <c r="C942" s="16">
        <v>2025</v>
      </c>
      <c r="D942" s="16" t="s">
        <v>26</v>
      </c>
      <c r="E942" s="16" t="s">
        <v>32</v>
      </c>
      <c r="F942" s="16" t="s">
        <v>33</v>
      </c>
      <c r="G942" s="16">
        <v>44</v>
      </c>
      <c r="H942" s="16">
        <v>8643</v>
      </c>
      <c r="I942" s="16">
        <v>498.9</v>
      </c>
      <c r="J942" s="19">
        <v>0.72499999999999998</v>
      </c>
      <c r="K942" s="16">
        <v>80.8</v>
      </c>
      <c r="L942" s="19">
        <v>0.98299999999999998</v>
      </c>
      <c r="M942" s="19">
        <v>0.03</v>
      </c>
      <c r="N942" s="21">
        <v>60230.16</v>
      </c>
      <c r="O942" s="21">
        <v>45626.94</v>
      </c>
      <c r="P942" s="26">
        <v>14603.22</v>
      </c>
    </row>
    <row r="943" spans="1:16" x14ac:dyDescent="0.3">
      <c r="A943" s="25">
        <v>942</v>
      </c>
      <c r="B943" s="16" t="s">
        <v>55</v>
      </c>
      <c r="C943" s="16">
        <v>2025</v>
      </c>
      <c r="D943" s="16" t="s">
        <v>26</v>
      </c>
      <c r="E943" s="16" t="s">
        <v>27</v>
      </c>
      <c r="F943" s="16" t="s">
        <v>33</v>
      </c>
      <c r="G943" s="16">
        <v>39</v>
      </c>
      <c r="H943" s="16">
        <v>6286</v>
      </c>
      <c r="I943" s="16">
        <v>452.3</v>
      </c>
      <c r="J943" s="19">
        <v>0.66400000000000003</v>
      </c>
      <c r="K943" s="16">
        <v>84.7</v>
      </c>
      <c r="L943" s="19">
        <v>0.89600000000000002</v>
      </c>
      <c r="M943" s="19">
        <v>3.5999999999999997E-2</v>
      </c>
      <c r="N943" s="21">
        <v>56134.720000000001</v>
      </c>
      <c r="O943" s="21">
        <v>35062.720000000001</v>
      </c>
      <c r="P943" s="26">
        <v>21072</v>
      </c>
    </row>
    <row r="944" spans="1:16" x14ac:dyDescent="0.3">
      <c r="A944" s="25">
        <v>943</v>
      </c>
      <c r="B944" s="16" t="s">
        <v>55</v>
      </c>
      <c r="C944" s="16">
        <v>2025</v>
      </c>
      <c r="D944" s="16" t="s">
        <v>26</v>
      </c>
      <c r="E944" s="16" t="s">
        <v>31</v>
      </c>
      <c r="F944" s="16" t="s">
        <v>33</v>
      </c>
      <c r="G944" s="16">
        <v>61</v>
      </c>
      <c r="H944" s="16">
        <v>9960</v>
      </c>
      <c r="I944" s="16">
        <v>465.6</v>
      </c>
      <c r="J944" s="19">
        <v>0.81599999999999995</v>
      </c>
      <c r="K944" s="16">
        <v>81.099999999999994</v>
      </c>
      <c r="L944" s="19">
        <v>0.96699999999999997</v>
      </c>
      <c r="M944" s="19">
        <v>4.2999999999999997E-2</v>
      </c>
      <c r="N944" s="21">
        <v>90841.97</v>
      </c>
      <c r="O944" s="21">
        <v>70739.39</v>
      </c>
      <c r="P944" s="26">
        <v>20102.580000000002</v>
      </c>
    </row>
    <row r="945" spans="1:16" x14ac:dyDescent="0.3">
      <c r="A945" s="25">
        <v>944</v>
      </c>
      <c r="B945" s="16" t="s">
        <v>55</v>
      </c>
      <c r="C945" s="16">
        <v>2025</v>
      </c>
      <c r="D945" s="16" t="s">
        <v>26</v>
      </c>
      <c r="E945" s="16" t="s">
        <v>34</v>
      </c>
      <c r="F945" s="16" t="s">
        <v>36</v>
      </c>
      <c r="G945" s="16">
        <v>46</v>
      </c>
      <c r="H945" s="16">
        <v>9259</v>
      </c>
      <c r="I945" s="16">
        <v>877.3</v>
      </c>
      <c r="J945" s="19">
        <v>0.64900000000000002</v>
      </c>
      <c r="K945" s="16">
        <v>74</v>
      </c>
      <c r="L945" s="19">
        <v>0.94599999999999995</v>
      </c>
      <c r="M945" s="19">
        <v>2.4E-2</v>
      </c>
      <c r="N945" s="21">
        <v>46544.32</v>
      </c>
      <c r="O945" s="21">
        <v>28915.9</v>
      </c>
      <c r="P945" s="26">
        <v>17628.419999999998</v>
      </c>
    </row>
    <row r="946" spans="1:16" x14ac:dyDescent="0.3">
      <c r="A946" s="25">
        <v>945</v>
      </c>
      <c r="B946" s="16" t="s">
        <v>55</v>
      </c>
      <c r="C946" s="16">
        <v>2025</v>
      </c>
      <c r="D946" s="16" t="s">
        <v>26</v>
      </c>
      <c r="E946" s="16" t="s">
        <v>35</v>
      </c>
      <c r="F946" s="16" t="s">
        <v>36</v>
      </c>
      <c r="G946" s="16">
        <v>60</v>
      </c>
      <c r="H946" s="16">
        <v>8971</v>
      </c>
      <c r="I946" s="16">
        <v>947.8</v>
      </c>
      <c r="J946" s="19">
        <v>0.77800000000000002</v>
      </c>
      <c r="K946" s="16">
        <v>73</v>
      </c>
      <c r="L946" s="19">
        <v>0.93</v>
      </c>
      <c r="M946" s="19">
        <v>2.1000000000000001E-2</v>
      </c>
      <c r="N946" s="21">
        <v>85145.06</v>
      </c>
      <c r="O946" s="21">
        <v>57166.46</v>
      </c>
      <c r="P946" s="26">
        <v>27978.6</v>
      </c>
    </row>
    <row r="947" spans="1:16" x14ac:dyDescent="0.3">
      <c r="A947" s="25">
        <v>946</v>
      </c>
      <c r="B947" s="16" t="s">
        <v>55</v>
      </c>
      <c r="C947" s="16">
        <v>2025</v>
      </c>
      <c r="D947" s="16" t="s">
        <v>26</v>
      </c>
      <c r="E947" s="16" t="s">
        <v>34</v>
      </c>
      <c r="F947" s="16" t="s">
        <v>37</v>
      </c>
      <c r="G947" s="16">
        <v>47</v>
      </c>
      <c r="H947" s="16">
        <v>8207</v>
      </c>
      <c r="I947" s="16">
        <v>627</v>
      </c>
      <c r="J947" s="19">
        <v>0.74099999999999999</v>
      </c>
      <c r="K947" s="16">
        <v>83.9</v>
      </c>
      <c r="L947" s="19">
        <v>0.94899999999999995</v>
      </c>
      <c r="M947" s="19">
        <v>3.5999999999999997E-2</v>
      </c>
      <c r="N947" s="21">
        <v>51800.36</v>
      </c>
      <c r="O947" s="21">
        <v>38313.839999999997</v>
      </c>
      <c r="P947" s="26">
        <v>13486.52</v>
      </c>
    </row>
    <row r="948" spans="1:16" x14ac:dyDescent="0.3">
      <c r="A948" s="25">
        <v>947</v>
      </c>
      <c r="B948" s="16" t="s">
        <v>55</v>
      </c>
      <c r="C948" s="16">
        <v>2025</v>
      </c>
      <c r="D948" s="16" t="s">
        <v>38</v>
      </c>
      <c r="E948" s="16" t="s">
        <v>27</v>
      </c>
      <c r="F948" s="16" t="s">
        <v>28</v>
      </c>
      <c r="G948" s="16">
        <v>31</v>
      </c>
      <c r="H948" s="16">
        <v>6030</v>
      </c>
      <c r="I948" s="16">
        <v>391.4</v>
      </c>
      <c r="J948" s="19">
        <v>0.88800000000000001</v>
      </c>
      <c r="K948" s="16">
        <v>91.7</v>
      </c>
      <c r="L948" s="19">
        <v>0.98199999999999998</v>
      </c>
      <c r="M948" s="19">
        <v>3.7999999999999999E-2</v>
      </c>
      <c r="N948" s="21">
        <v>49028.9</v>
      </c>
      <c r="O948" s="21">
        <v>36062.959999999999</v>
      </c>
      <c r="P948" s="26">
        <v>12965.94</v>
      </c>
    </row>
    <row r="949" spans="1:16" x14ac:dyDescent="0.3">
      <c r="A949" s="25">
        <v>948</v>
      </c>
      <c r="B949" s="16" t="s">
        <v>55</v>
      </c>
      <c r="C949" s="16">
        <v>2025</v>
      </c>
      <c r="D949" s="16" t="s">
        <v>38</v>
      </c>
      <c r="E949" s="16" t="s">
        <v>30</v>
      </c>
      <c r="F949" s="16" t="s">
        <v>28</v>
      </c>
      <c r="G949" s="16">
        <v>53</v>
      </c>
      <c r="H949" s="16">
        <v>9440</v>
      </c>
      <c r="I949" s="16">
        <v>351.8</v>
      </c>
      <c r="J949" s="19">
        <v>0.77500000000000002</v>
      </c>
      <c r="K949" s="16">
        <v>88.1</v>
      </c>
      <c r="L949" s="19">
        <v>0.93</v>
      </c>
      <c r="M949" s="19">
        <v>4.1000000000000002E-2</v>
      </c>
      <c r="N949" s="21">
        <v>69656.479999999996</v>
      </c>
      <c r="O949" s="21">
        <v>48280.08</v>
      </c>
      <c r="P949" s="26">
        <v>21376.400000000001</v>
      </c>
    </row>
    <row r="950" spans="1:16" x14ac:dyDescent="0.3">
      <c r="A950" s="25">
        <v>949</v>
      </c>
      <c r="B950" s="16" t="s">
        <v>55</v>
      </c>
      <c r="C950" s="16">
        <v>2025</v>
      </c>
      <c r="D950" s="16" t="s">
        <v>38</v>
      </c>
      <c r="E950" s="16" t="s">
        <v>32</v>
      </c>
      <c r="F950" s="16" t="s">
        <v>29</v>
      </c>
      <c r="G950" s="16">
        <v>32</v>
      </c>
      <c r="H950" s="16">
        <v>5989</v>
      </c>
      <c r="I950" s="16">
        <v>334.7</v>
      </c>
      <c r="J950" s="19">
        <v>0.71</v>
      </c>
      <c r="K950" s="16">
        <v>81.5</v>
      </c>
      <c r="L950" s="19">
        <v>0.91700000000000004</v>
      </c>
      <c r="M950" s="19">
        <v>2.5000000000000001E-2</v>
      </c>
      <c r="N950" s="21">
        <v>45950.17</v>
      </c>
      <c r="O950" s="21">
        <v>35298.47</v>
      </c>
      <c r="P950" s="26">
        <v>10651.7</v>
      </c>
    </row>
    <row r="951" spans="1:16" x14ac:dyDescent="0.3">
      <c r="A951" s="25">
        <v>950</v>
      </c>
      <c r="B951" s="16" t="s">
        <v>55</v>
      </c>
      <c r="C951" s="16">
        <v>2025</v>
      </c>
      <c r="D951" s="16" t="s">
        <v>38</v>
      </c>
      <c r="E951" s="16" t="s">
        <v>27</v>
      </c>
      <c r="F951" s="16" t="s">
        <v>29</v>
      </c>
      <c r="G951" s="16">
        <v>53</v>
      </c>
      <c r="H951" s="16">
        <v>11256</v>
      </c>
      <c r="I951" s="16">
        <v>259.39999999999998</v>
      </c>
      <c r="J951" s="19">
        <v>0.60799999999999998</v>
      </c>
      <c r="K951" s="16">
        <v>86.5</v>
      </c>
      <c r="L951" s="19">
        <v>0.86799999999999999</v>
      </c>
      <c r="M951" s="19">
        <v>1.7000000000000001E-2</v>
      </c>
      <c r="N951" s="21">
        <v>57198.27</v>
      </c>
      <c r="O951" s="21">
        <v>39746.49</v>
      </c>
      <c r="P951" s="26">
        <v>17451.78</v>
      </c>
    </row>
    <row r="952" spans="1:16" x14ac:dyDescent="0.3">
      <c r="A952" s="25">
        <v>951</v>
      </c>
      <c r="B952" s="16" t="s">
        <v>55</v>
      </c>
      <c r="C952" s="16">
        <v>2025</v>
      </c>
      <c r="D952" s="16" t="s">
        <v>38</v>
      </c>
      <c r="E952" s="16" t="s">
        <v>34</v>
      </c>
      <c r="F952" s="16" t="s">
        <v>29</v>
      </c>
      <c r="G952" s="16">
        <v>51</v>
      </c>
      <c r="H952" s="16">
        <v>9663</v>
      </c>
      <c r="I952" s="16">
        <v>335.4</v>
      </c>
      <c r="J952" s="19">
        <v>0.75700000000000001</v>
      </c>
      <c r="K952" s="16">
        <v>74.2</v>
      </c>
      <c r="L952" s="19">
        <v>0.88300000000000001</v>
      </c>
      <c r="M952" s="19">
        <v>3.1E-2</v>
      </c>
      <c r="N952" s="21">
        <v>75358.97</v>
      </c>
      <c r="O952" s="21">
        <v>47823.51</v>
      </c>
      <c r="P952" s="26">
        <v>27535.46</v>
      </c>
    </row>
    <row r="953" spans="1:16" x14ac:dyDescent="0.3">
      <c r="A953" s="25">
        <v>952</v>
      </c>
      <c r="B953" s="16" t="s">
        <v>55</v>
      </c>
      <c r="C953" s="16">
        <v>2025</v>
      </c>
      <c r="D953" s="16" t="s">
        <v>38</v>
      </c>
      <c r="E953" s="16" t="s">
        <v>31</v>
      </c>
      <c r="F953" s="16" t="s">
        <v>29</v>
      </c>
      <c r="G953" s="16">
        <v>42</v>
      </c>
      <c r="H953" s="16">
        <v>6649</v>
      </c>
      <c r="I953" s="16">
        <v>339.5</v>
      </c>
      <c r="J953" s="19">
        <v>0.67800000000000005</v>
      </c>
      <c r="K953" s="16">
        <v>85.6</v>
      </c>
      <c r="L953" s="19">
        <v>0.86099999999999999</v>
      </c>
      <c r="M953" s="19">
        <v>2.9000000000000001E-2</v>
      </c>
      <c r="N953" s="21">
        <v>46226.43</v>
      </c>
      <c r="O953" s="21">
        <v>29775.27</v>
      </c>
      <c r="P953" s="26">
        <v>16451.16</v>
      </c>
    </row>
    <row r="954" spans="1:16" x14ac:dyDescent="0.3">
      <c r="A954" s="25">
        <v>953</v>
      </c>
      <c r="B954" s="16" t="s">
        <v>55</v>
      </c>
      <c r="C954" s="16">
        <v>2025</v>
      </c>
      <c r="D954" s="16" t="s">
        <v>38</v>
      </c>
      <c r="E954" s="16" t="s">
        <v>35</v>
      </c>
      <c r="F954" s="16" t="s">
        <v>29</v>
      </c>
      <c r="G954" s="16">
        <v>80</v>
      </c>
      <c r="H954" s="16">
        <v>12313</v>
      </c>
      <c r="I954" s="16">
        <v>310.89999999999998</v>
      </c>
      <c r="J954" s="19">
        <v>0.74399999999999999</v>
      </c>
      <c r="K954" s="16">
        <v>84</v>
      </c>
      <c r="L954" s="19">
        <v>0.84199999999999997</v>
      </c>
      <c r="M954" s="19">
        <v>3.4000000000000002E-2</v>
      </c>
      <c r="N954" s="21">
        <v>89474.4</v>
      </c>
      <c r="O954" s="21">
        <v>65748.7</v>
      </c>
      <c r="P954" s="26">
        <v>23725.7</v>
      </c>
    </row>
    <row r="955" spans="1:16" x14ac:dyDescent="0.3">
      <c r="A955" s="25">
        <v>954</v>
      </c>
      <c r="B955" s="16" t="s">
        <v>55</v>
      </c>
      <c r="C955" s="16">
        <v>2025</v>
      </c>
      <c r="D955" s="16" t="s">
        <v>38</v>
      </c>
      <c r="E955" s="16" t="s">
        <v>32</v>
      </c>
      <c r="F955" s="16" t="s">
        <v>33</v>
      </c>
      <c r="G955" s="16">
        <v>42</v>
      </c>
      <c r="H955" s="16">
        <v>6627</v>
      </c>
      <c r="I955" s="16">
        <v>381.7</v>
      </c>
      <c r="J955" s="19">
        <v>0.68100000000000005</v>
      </c>
      <c r="K955" s="16">
        <v>85.4</v>
      </c>
      <c r="L955" s="19">
        <v>0.94</v>
      </c>
      <c r="M955" s="19">
        <v>4.8000000000000001E-2</v>
      </c>
      <c r="N955" s="21">
        <v>56658.16</v>
      </c>
      <c r="O955" s="21">
        <v>36362.519999999997</v>
      </c>
      <c r="P955" s="26">
        <v>20295.64</v>
      </c>
    </row>
    <row r="956" spans="1:16" x14ac:dyDescent="0.3">
      <c r="A956" s="25">
        <v>955</v>
      </c>
      <c r="B956" s="16" t="s">
        <v>55</v>
      </c>
      <c r="C956" s="16">
        <v>2025</v>
      </c>
      <c r="D956" s="16" t="s">
        <v>38</v>
      </c>
      <c r="E956" s="16" t="s">
        <v>34</v>
      </c>
      <c r="F956" s="16" t="s">
        <v>33</v>
      </c>
      <c r="G956" s="16">
        <v>14</v>
      </c>
      <c r="H956" s="16">
        <v>2359</v>
      </c>
      <c r="I956" s="16">
        <v>445.7</v>
      </c>
      <c r="J956" s="19">
        <v>0.70699999999999996</v>
      </c>
      <c r="K956" s="16">
        <v>88.8</v>
      </c>
      <c r="L956" s="19">
        <v>0.89500000000000002</v>
      </c>
      <c r="M956" s="19">
        <v>3.1E-2</v>
      </c>
      <c r="N956" s="21">
        <v>21947.37</v>
      </c>
      <c r="O956" s="21">
        <v>15974.27</v>
      </c>
      <c r="P956" s="26">
        <v>5973.1</v>
      </c>
    </row>
    <row r="957" spans="1:16" x14ac:dyDescent="0.3">
      <c r="A957" s="25">
        <v>956</v>
      </c>
      <c r="B957" s="16" t="s">
        <v>55</v>
      </c>
      <c r="C957" s="16">
        <v>2025</v>
      </c>
      <c r="D957" s="16" t="s">
        <v>38</v>
      </c>
      <c r="E957" s="16" t="s">
        <v>35</v>
      </c>
      <c r="F957" s="16" t="s">
        <v>33</v>
      </c>
      <c r="G957" s="16">
        <v>51</v>
      </c>
      <c r="H957" s="16">
        <v>8992</v>
      </c>
      <c r="I957" s="16">
        <v>458.7</v>
      </c>
      <c r="J957" s="19">
        <v>0.77900000000000003</v>
      </c>
      <c r="K957" s="16">
        <v>84.9</v>
      </c>
      <c r="L957" s="19">
        <v>0.80500000000000005</v>
      </c>
      <c r="M957" s="19">
        <v>1.2E-2</v>
      </c>
      <c r="N957" s="21">
        <v>79825.91</v>
      </c>
      <c r="O957" s="21">
        <v>57059.39</v>
      </c>
      <c r="P957" s="26">
        <v>22766.52</v>
      </c>
    </row>
    <row r="958" spans="1:16" x14ac:dyDescent="0.3">
      <c r="A958" s="25">
        <v>957</v>
      </c>
      <c r="B958" s="16" t="s">
        <v>55</v>
      </c>
      <c r="C958" s="16">
        <v>2025</v>
      </c>
      <c r="D958" s="16" t="s">
        <v>38</v>
      </c>
      <c r="E958" s="16" t="s">
        <v>31</v>
      </c>
      <c r="F958" s="16" t="s">
        <v>36</v>
      </c>
      <c r="G958" s="16">
        <v>48</v>
      </c>
      <c r="H958" s="16">
        <v>9400</v>
      </c>
      <c r="I958" s="16">
        <v>852.9</v>
      </c>
      <c r="J958" s="19">
        <v>0.70299999999999996</v>
      </c>
      <c r="K958" s="16">
        <v>79.3</v>
      </c>
      <c r="L958" s="19">
        <v>0.93899999999999995</v>
      </c>
      <c r="M958" s="19">
        <v>3.4000000000000002E-2</v>
      </c>
      <c r="N958" s="21">
        <v>64958.18</v>
      </c>
      <c r="O958" s="21">
        <v>42308.03</v>
      </c>
      <c r="P958" s="26">
        <v>22650.15</v>
      </c>
    </row>
    <row r="959" spans="1:16" x14ac:dyDescent="0.3">
      <c r="A959" s="25">
        <v>958</v>
      </c>
      <c r="B959" s="16" t="s">
        <v>55</v>
      </c>
      <c r="C959" s="16">
        <v>2025</v>
      </c>
      <c r="D959" s="16" t="s">
        <v>38</v>
      </c>
      <c r="E959" s="16" t="s">
        <v>35</v>
      </c>
      <c r="F959" s="16" t="s">
        <v>36</v>
      </c>
      <c r="G959" s="16">
        <v>48</v>
      </c>
      <c r="H959" s="16">
        <v>8569</v>
      </c>
      <c r="I959" s="16">
        <v>887.9</v>
      </c>
      <c r="J959" s="19">
        <v>0.65200000000000002</v>
      </c>
      <c r="K959" s="16">
        <v>82.8</v>
      </c>
      <c r="L959" s="19">
        <v>0.79800000000000004</v>
      </c>
      <c r="M959" s="19">
        <v>2.1000000000000001E-2</v>
      </c>
      <c r="N959" s="21">
        <v>54552.92</v>
      </c>
      <c r="O959" s="21">
        <v>39554.11</v>
      </c>
      <c r="P959" s="26">
        <v>14998.81</v>
      </c>
    </row>
    <row r="960" spans="1:16" x14ac:dyDescent="0.3">
      <c r="A960" s="25">
        <v>959</v>
      </c>
      <c r="B960" s="16" t="s">
        <v>55</v>
      </c>
      <c r="C960" s="16">
        <v>2025</v>
      </c>
      <c r="D960" s="16" t="s">
        <v>38</v>
      </c>
      <c r="E960" s="16" t="s">
        <v>32</v>
      </c>
      <c r="F960" s="16" t="s">
        <v>37</v>
      </c>
      <c r="G960" s="16">
        <v>28</v>
      </c>
      <c r="H960" s="16">
        <v>4890</v>
      </c>
      <c r="I960" s="16">
        <v>687.7</v>
      </c>
      <c r="J960" s="19">
        <v>0.65300000000000002</v>
      </c>
      <c r="K960" s="16">
        <v>74.900000000000006</v>
      </c>
      <c r="L960" s="19">
        <v>0.89</v>
      </c>
      <c r="M960" s="19">
        <v>5.5E-2</v>
      </c>
      <c r="N960" s="21">
        <v>29636.89</v>
      </c>
      <c r="O960" s="21">
        <v>19695.45</v>
      </c>
      <c r="P960" s="26">
        <v>9941.44</v>
      </c>
    </row>
    <row r="961" spans="1:16" x14ac:dyDescent="0.3">
      <c r="A961" s="25">
        <v>960</v>
      </c>
      <c r="B961" s="16" t="s">
        <v>55</v>
      </c>
      <c r="C961" s="16">
        <v>2025</v>
      </c>
      <c r="D961" s="16" t="s">
        <v>38</v>
      </c>
      <c r="E961" s="16" t="s">
        <v>27</v>
      </c>
      <c r="F961" s="16" t="s">
        <v>37</v>
      </c>
      <c r="G961" s="16">
        <v>24</v>
      </c>
      <c r="H961" s="16">
        <v>4467</v>
      </c>
      <c r="I961" s="16">
        <v>699.3</v>
      </c>
      <c r="J961" s="19">
        <v>0.66600000000000004</v>
      </c>
      <c r="K961" s="16">
        <v>71.7</v>
      </c>
      <c r="L961" s="19">
        <v>0.93600000000000005</v>
      </c>
      <c r="M961" s="19">
        <v>3.5000000000000003E-2</v>
      </c>
      <c r="N961" s="21">
        <v>28156.45</v>
      </c>
      <c r="O961" s="21">
        <v>20270.47</v>
      </c>
      <c r="P961" s="26">
        <v>7885.98</v>
      </c>
    </row>
    <row r="962" spans="1:16" x14ac:dyDescent="0.3">
      <c r="A962" s="25">
        <v>961</v>
      </c>
      <c r="B962" s="16" t="s">
        <v>55</v>
      </c>
      <c r="C962" s="16">
        <v>2025</v>
      </c>
      <c r="D962" s="16" t="s">
        <v>38</v>
      </c>
      <c r="E962" s="16" t="s">
        <v>35</v>
      </c>
      <c r="F962" s="16" t="s">
        <v>37</v>
      </c>
      <c r="G962" s="16">
        <v>8</v>
      </c>
      <c r="H962" s="16">
        <v>1564</v>
      </c>
      <c r="I962" s="16">
        <v>720.8</v>
      </c>
      <c r="J962" s="19">
        <v>0.68700000000000006</v>
      </c>
      <c r="K962" s="16">
        <v>76.8</v>
      </c>
      <c r="L962" s="19">
        <v>1</v>
      </c>
      <c r="M962" s="19">
        <v>2.7E-2</v>
      </c>
      <c r="N962" s="21">
        <v>11716.03</v>
      </c>
      <c r="O962" s="21">
        <v>8599.9699999999993</v>
      </c>
      <c r="P962" s="26">
        <v>3116.06</v>
      </c>
    </row>
    <row r="963" spans="1:16" x14ac:dyDescent="0.3">
      <c r="A963" s="25">
        <v>962</v>
      </c>
      <c r="B963" s="16" t="s">
        <v>55</v>
      </c>
      <c r="C963" s="16">
        <v>2025</v>
      </c>
      <c r="D963" s="16" t="s">
        <v>39</v>
      </c>
      <c r="E963" s="16" t="s">
        <v>32</v>
      </c>
      <c r="F963" s="16" t="s">
        <v>28</v>
      </c>
      <c r="G963" s="16">
        <v>38</v>
      </c>
      <c r="H963" s="16">
        <v>6816</v>
      </c>
      <c r="I963" s="16">
        <v>416.9</v>
      </c>
      <c r="J963" s="19">
        <v>0.81299999999999994</v>
      </c>
      <c r="K963" s="16">
        <v>88.5</v>
      </c>
      <c r="L963" s="19">
        <v>0.81499999999999995</v>
      </c>
      <c r="M963" s="19">
        <v>4.1000000000000002E-2</v>
      </c>
      <c r="N963" s="21">
        <v>62326.35</v>
      </c>
      <c r="O963" s="21">
        <v>46172.79</v>
      </c>
      <c r="P963" s="26">
        <v>16153.56</v>
      </c>
    </row>
    <row r="964" spans="1:16" x14ac:dyDescent="0.3">
      <c r="A964" s="25">
        <v>963</v>
      </c>
      <c r="B964" s="16" t="s">
        <v>55</v>
      </c>
      <c r="C964" s="16">
        <v>2025</v>
      </c>
      <c r="D964" s="16" t="s">
        <v>39</v>
      </c>
      <c r="E964" s="16" t="s">
        <v>27</v>
      </c>
      <c r="F964" s="16" t="s">
        <v>28</v>
      </c>
      <c r="G964" s="16">
        <v>39</v>
      </c>
      <c r="H964" s="16">
        <v>9789</v>
      </c>
      <c r="I964" s="16">
        <v>368.9</v>
      </c>
      <c r="J964" s="19">
        <v>0.71499999999999997</v>
      </c>
      <c r="K964" s="16">
        <v>82.2</v>
      </c>
      <c r="L964" s="19">
        <v>0.85</v>
      </c>
      <c r="M964" s="19">
        <v>5.0999999999999997E-2</v>
      </c>
      <c r="N964" s="21">
        <v>54555.07</v>
      </c>
      <c r="O964" s="21">
        <v>38134.42</v>
      </c>
      <c r="P964" s="26">
        <v>16420.650000000001</v>
      </c>
    </row>
    <row r="965" spans="1:16" x14ac:dyDescent="0.3">
      <c r="A965" s="25">
        <v>964</v>
      </c>
      <c r="B965" s="16" t="s">
        <v>55</v>
      </c>
      <c r="C965" s="16">
        <v>2025</v>
      </c>
      <c r="D965" s="16" t="s">
        <v>39</v>
      </c>
      <c r="E965" s="16" t="s">
        <v>30</v>
      </c>
      <c r="F965" s="16" t="s">
        <v>28</v>
      </c>
      <c r="G965" s="16">
        <v>43</v>
      </c>
      <c r="H965" s="16">
        <v>8471</v>
      </c>
      <c r="I965" s="16">
        <v>430.9</v>
      </c>
      <c r="J965" s="19">
        <v>0.84199999999999997</v>
      </c>
      <c r="K965" s="16">
        <v>87.5</v>
      </c>
      <c r="L965" s="19">
        <v>0.91800000000000004</v>
      </c>
      <c r="M965" s="19">
        <v>3.3000000000000002E-2</v>
      </c>
      <c r="N965" s="21">
        <v>72260.850000000006</v>
      </c>
      <c r="O965" s="21">
        <v>51192.45</v>
      </c>
      <c r="P965" s="26">
        <v>21068.400000000001</v>
      </c>
    </row>
    <row r="966" spans="1:16" x14ac:dyDescent="0.3">
      <c r="A966" s="25">
        <v>965</v>
      </c>
      <c r="B966" s="16" t="s">
        <v>55</v>
      </c>
      <c r="C966" s="16">
        <v>2025</v>
      </c>
      <c r="D966" s="16" t="s">
        <v>39</v>
      </c>
      <c r="E966" s="16" t="s">
        <v>34</v>
      </c>
      <c r="F966" s="16" t="s">
        <v>28</v>
      </c>
      <c r="G966" s="16">
        <v>49</v>
      </c>
      <c r="H966" s="16">
        <v>10364</v>
      </c>
      <c r="I966" s="16">
        <v>480.6</v>
      </c>
      <c r="J966" s="19">
        <v>0.69</v>
      </c>
      <c r="K966" s="16">
        <v>81.099999999999994</v>
      </c>
      <c r="L966" s="19">
        <v>0.88100000000000001</v>
      </c>
      <c r="M966" s="19">
        <v>2.3E-2</v>
      </c>
      <c r="N966" s="21">
        <v>73143.38</v>
      </c>
      <c r="O966" s="21">
        <v>50338.91</v>
      </c>
      <c r="P966" s="26">
        <v>22804.47</v>
      </c>
    </row>
    <row r="967" spans="1:16" x14ac:dyDescent="0.3">
      <c r="A967" s="25">
        <v>966</v>
      </c>
      <c r="B967" s="16" t="s">
        <v>55</v>
      </c>
      <c r="C967" s="16">
        <v>2025</v>
      </c>
      <c r="D967" s="16" t="s">
        <v>39</v>
      </c>
      <c r="E967" s="16" t="s">
        <v>31</v>
      </c>
      <c r="F967" s="16" t="s">
        <v>28</v>
      </c>
      <c r="G967" s="16">
        <v>17</v>
      </c>
      <c r="H967" s="16">
        <v>2750</v>
      </c>
      <c r="I967" s="16">
        <v>455.9</v>
      </c>
      <c r="J967" s="19">
        <v>0.61599999999999999</v>
      </c>
      <c r="K967" s="16">
        <v>86.9</v>
      </c>
      <c r="L967" s="19">
        <v>0.97899999999999998</v>
      </c>
      <c r="M967" s="19">
        <v>3.5000000000000003E-2</v>
      </c>
      <c r="N967" s="21">
        <v>21654.93</v>
      </c>
      <c r="O967" s="21">
        <v>15275.29</v>
      </c>
      <c r="P967" s="26">
        <v>6379.64</v>
      </c>
    </row>
    <row r="968" spans="1:16" x14ac:dyDescent="0.3">
      <c r="A968" s="25">
        <v>967</v>
      </c>
      <c r="B968" s="16" t="s">
        <v>55</v>
      </c>
      <c r="C968" s="16">
        <v>2025</v>
      </c>
      <c r="D968" s="16" t="s">
        <v>39</v>
      </c>
      <c r="E968" s="16" t="s">
        <v>32</v>
      </c>
      <c r="F968" s="16" t="s">
        <v>29</v>
      </c>
      <c r="G968" s="16">
        <v>57</v>
      </c>
      <c r="H968" s="16">
        <v>12749</v>
      </c>
      <c r="I968" s="16">
        <v>260.10000000000002</v>
      </c>
      <c r="J968" s="19">
        <v>0.59099999999999997</v>
      </c>
      <c r="K968" s="16">
        <v>73.900000000000006</v>
      </c>
      <c r="L968" s="19">
        <v>0.91700000000000004</v>
      </c>
      <c r="M968" s="19">
        <v>3.9E-2</v>
      </c>
      <c r="N968" s="21">
        <v>53443.61</v>
      </c>
      <c r="O968" s="21">
        <v>34981.410000000003</v>
      </c>
      <c r="P968" s="26">
        <v>18462.2</v>
      </c>
    </row>
    <row r="969" spans="1:16" x14ac:dyDescent="0.3">
      <c r="A969" s="25">
        <v>968</v>
      </c>
      <c r="B969" s="16" t="s">
        <v>55</v>
      </c>
      <c r="C969" s="16">
        <v>2025</v>
      </c>
      <c r="D969" s="16" t="s">
        <v>39</v>
      </c>
      <c r="E969" s="16" t="s">
        <v>27</v>
      </c>
      <c r="F969" s="16" t="s">
        <v>29</v>
      </c>
      <c r="G969" s="16">
        <v>47</v>
      </c>
      <c r="H969" s="16">
        <v>7743</v>
      </c>
      <c r="I969" s="16">
        <v>313.89999999999998</v>
      </c>
      <c r="J969" s="19">
        <v>0.71299999999999997</v>
      </c>
      <c r="K969" s="16">
        <v>74.8</v>
      </c>
      <c r="L969" s="19">
        <v>0.88200000000000001</v>
      </c>
      <c r="M969" s="19">
        <v>1.2999999999999999E-2</v>
      </c>
      <c r="N969" s="21">
        <v>75107.240000000005</v>
      </c>
      <c r="O969" s="21">
        <v>58561.99</v>
      </c>
      <c r="P969" s="26">
        <v>16545.25</v>
      </c>
    </row>
    <row r="970" spans="1:16" x14ac:dyDescent="0.3">
      <c r="A970" s="25">
        <v>969</v>
      </c>
      <c r="B970" s="16" t="s">
        <v>55</v>
      </c>
      <c r="C970" s="16">
        <v>2025</v>
      </c>
      <c r="D970" s="16" t="s">
        <v>39</v>
      </c>
      <c r="E970" s="16" t="s">
        <v>31</v>
      </c>
      <c r="F970" s="16" t="s">
        <v>29</v>
      </c>
      <c r="G970" s="16">
        <v>42</v>
      </c>
      <c r="H970" s="16">
        <v>6281</v>
      </c>
      <c r="I970" s="16">
        <v>330.5</v>
      </c>
      <c r="J970" s="19">
        <v>0.73499999999999999</v>
      </c>
      <c r="K970" s="16">
        <v>78.099999999999994</v>
      </c>
      <c r="L970" s="19">
        <v>0.88100000000000001</v>
      </c>
      <c r="M970" s="19">
        <v>1.4E-2</v>
      </c>
      <c r="N970" s="21">
        <v>63441.79</v>
      </c>
      <c r="O970" s="21">
        <v>39690.82</v>
      </c>
      <c r="P970" s="26">
        <v>23750.97</v>
      </c>
    </row>
    <row r="971" spans="1:16" x14ac:dyDescent="0.3">
      <c r="A971" s="25">
        <v>970</v>
      </c>
      <c r="B971" s="16" t="s">
        <v>55</v>
      </c>
      <c r="C971" s="16">
        <v>2025</v>
      </c>
      <c r="D971" s="16" t="s">
        <v>39</v>
      </c>
      <c r="E971" s="16" t="s">
        <v>32</v>
      </c>
      <c r="F971" s="16" t="s">
        <v>33</v>
      </c>
      <c r="G971" s="16">
        <v>50</v>
      </c>
      <c r="H971" s="16">
        <v>7645</v>
      </c>
      <c r="I971" s="16">
        <v>507.4</v>
      </c>
      <c r="J971" s="19">
        <v>0.72399999999999998</v>
      </c>
      <c r="K971" s="16">
        <v>80.8</v>
      </c>
      <c r="L971" s="19">
        <v>0.90200000000000002</v>
      </c>
      <c r="M971" s="19">
        <v>0.03</v>
      </c>
      <c r="N971" s="21">
        <v>82172.320000000007</v>
      </c>
      <c r="O971" s="21">
        <v>51932.17</v>
      </c>
      <c r="P971" s="26">
        <v>30240.15</v>
      </c>
    </row>
    <row r="972" spans="1:16" x14ac:dyDescent="0.3">
      <c r="A972" s="25">
        <v>971</v>
      </c>
      <c r="B972" s="16" t="s">
        <v>55</v>
      </c>
      <c r="C972" s="16">
        <v>2025</v>
      </c>
      <c r="D972" s="16" t="s">
        <v>39</v>
      </c>
      <c r="E972" s="16" t="s">
        <v>34</v>
      </c>
      <c r="F972" s="16" t="s">
        <v>33</v>
      </c>
      <c r="G972" s="16">
        <v>62</v>
      </c>
      <c r="H972" s="16">
        <v>11979</v>
      </c>
      <c r="I972" s="16">
        <v>462.9</v>
      </c>
      <c r="J972" s="19">
        <v>0.73299999999999998</v>
      </c>
      <c r="K972" s="16">
        <v>82.3</v>
      </c>
      <c r="L972" s="19">
        <v>0.878</v>
      </c>
      <c r="M972" s="19">
        <v>3.5000000000000003E-2</v>
      </c>
      <c r="N972" s="21">
        <v>86669.42</v>
      </c>
      <c r="O972" s="21">
        <v>61577.43</v>
      </c>
      <c r="P972" s="26">
        <v>25091.99</v>
      </c>
    </row>
    <row r="973" spans="1:16" x14ac:dyDescent="0.3">
      <c r="A973" s="25">
        <v>972</v>
      </c>
      <c r="B973" s="16" t="s">
        <v>55</v>
      </c>
      <c r="C973" s="16">
        <v>2025</v>
      </c>
      <c r="D973" s="16" t="s">
        <v>39</v>
      </c>
      <c r="E973" s="16" t="s">
        <v>31</v>
      </c>
      <c r="F973" s="16" t="s">
        <v>33</v>
      </c>
      <c r="G973" s="16">
        <v>36</v>
      </c>
      <c r="H973" s="16">
        <v>7096</v>
      </c>
      <c r="I973" s="16">
        <v>484.7</v>
      </c>
      <c r="J973" s="19">
        <v>0.76300000000000001</v>
      </c>
      <c r="K973" s="16">
        <v>83.7</v>
      </c>
      <c r="L973" s="19">
        <v>0.92100000000000004</v>
      </c>
      <c r="M973" s="19">
        <v>4.2000000000000003E-2</v>
      </c>
      <c r="N973" s="21">
        <v>54285.09</v>
      </c>
      <c r="O973" s="21">
        <v>38712.839999999997</v>
      </c>
      <c r="P973" s="26">
        <v>15572.25</v>
      </c>
    </row>
    <row r="974" spans="1:16" x14ac:dyDescent="0.3">
      <c r="A974" s="25">
        <v>973</v>
      </c>
      <c r="B974" s="16" t="s">
        <v>55</v>
      </c>
      <c r="C974" s="16">
        <v>2025</v>
      </c>
      <c r="D974" s="16" t="s">
        <v>39</v>
      </c>
      <c r="E974" s="16" t="s">
        <v>35</v>
      </c>
      <c r="F974" s="16" t="s">
        <v>33</v>
      </c>
      <c r="G974" s="16">
        <v>51</v>
      </c>
      <c r="H974" s="16">
        <v>9752</v>
      </c>
      <c r="I974" s="16">
        <v>476.3</v>
      </c>
      <c r="J974" s="19">
        <v>0.74099999999999999</v>
      </c>
      <c r="K974" s="16">
        <v>80.099999999999994</v>
      </c>
      <c r="L974" s="19">
        <v>0.84</v>
      </c>
      <c r="M974" s="19">
        <v>2.1999999999999999E-2</v>
      </c>
      <c r="N974" s="21">
        <v>61482.91</v>
      </c>
      <c r="O974" s="21">
        <v>42256.35</v>
      </c>
      <c r="P974" s="26">
        <v>19226.560000000001</v>
      </c>
    </row>
    <row r="975" spans="1:16" x14ac:dyDescent="0.3">
      <c r="A975" s="25">
        <v>974</v>
      </c>
      <c r="B975" s="16" t="s">
        <v>55</v>
      </c>
      <c r="C975" s="16">
        <v>2025</v>
      </c>
      <c r="D975" s="16" t="s">
        <v>39</v>
      </c>
      <c r="E975" s="16" t="s">
        <v>30</v>
      </c>
      <c r="F975" s="16" t="s">
        <v>36</v>
      </c>
      <c r="G975" s="16">
        <v>10</v>
      </c>
      <c r="H975" s="16">
        <v>2202</v>
      </c>
      <c r="I975" s="16">
        <v>943.5</v>
      </c>
      <c r="J975" s="19">
        <v>0.72699999999999998</v>
      </c>
      <c r="K975" s="16">
        <v>91.5</v>
      </c>
      <c r="L975" s="19">
        <v>1</v>
      </c>
      <c r="M975" s="19">
        <v>0.02</v>
      </c>
      <c r="N975" s="21">
        <v>12749.95</v>
      </c>
      <c r="O975" s="21">
        <v>8266.19</v>
      </c>
      <c r="P975" s="26">
        <v>4483.76</v>
      </c>
    </row>
    <row r="976" spans="1:16" x14ac:dyDescent="0.3">
      <c r="A976" s="25">
        <v>975</v>
      </c>
      <c r="B976" s="16" t="s">
        <v>55</v>
      </c>
      <c r="C976" s="16">
        <v>2025</v>
      </c>
      <c r="D976" s="16" t="s">
        <v>39</v>
      </c>
      <c r="E976" s="16" t="s">
        <v>34</v>
      </c>
      <c r="F976" s="16" t="s">
        <v>36</v>
      </c>
      <c r="G976" s="16">
        <v>49</v>
      </c>
      <c r="H976" s="16">
        <v>9451</v>
      </c>
      <c r="I976" s="16">
        <v>893.8</v>
      </c>
      <c r="J976" s="19">
        <v>0.74299999999999999</v>
      </c>
      <c r="K976" s="16">
        <v>82.5</v>
      </c>
      <c r="L976" s="19">
        <v>0.86599999999999999</v>
      </c>
      <c r="M976" s="19">
        <v>2.5000000000000001E-2</v>
      </c>
      <c r="N976" s="21">
        <v>81151.44</v>
      </c>
      <c r="O976" s="21">
        <v>60656.46</v>
      </c>
      <c r="P976" s="26">
        <v>20494.98</v>
      </c>
    </row>
    <row r="977" spans="1:16" x14ac:dyDescent="0.3">
      <c r="A977" s="25">
        <v>976</v>
      </c>
      <c r="B977" s="16" t="s">
        <v>55</v>
      </c>
      <c r="C977" s="16">
        <v>2025</v>
      </c>
      <c r="D977" s="16" t="s">
        <v>39</v>
      </c>
      <c r="E977" s="16" t="s">
        <v>32</v>
      </c>
      <c r="F977" s="16" t="s">
        <v>37</v>
      </c>
      <c r="G977" s="16">
        <v>69</v>
      </c>
      <c r="H977" s="16">
        <v>10047</v>
      </c>
      <c r="I977" s="16">
        <v>705.3</v>
      </c>
      <c r="J977" s="19">
        <v>0.80400000000000005</v>
      </c>
      <c r="K977" s="16">
        <v>80.3</v>
      </c>
      <c r="L977" s="19">
        <v>0.96199999999999997</v>
      </c>
      <c r="M977" s="19">
        <v>3.5999999999999997E-2</v>
      </c>
      <c r="N977" s="21">
        <v>104804</v>
      </c>
      <c r="O977" s="21">
        <v>68014.66</v>
      </c>
      <c r="P977" s="26">
        <v>36789.339999999997</v>
      </c>
    </row>
    <row r="978" spans="1:16" x14ac:dyDescent="0.3">
      <c r="A978" s="25">
        <v>977</v>
      </c>
      <c r="B978" s="16" t="s">
        <v>55</v>
      </c>
      <c r="C978" s="16">
        <v>2025</v>
      </c>
      <c r="D978" s="16" t="s">
        <v>39</v>
      </c>
      <c r="E978" s="16" t="s">
        <v>30</v>
      </c>
      <c r="F978" s="16" t="s">
        <v>37</v>
      </c>
      <c r="G978" s="16">
        <v>68</v>
      </c>
      <c r="H978" s="16">
        <v>13224</v>
      </c>
      <c r="I978" s="16">
        <v>699.5</v>
      </c>
      <c r="J978" s="19">
        <v>0.70699999999999996</v>
      </c>
      <c r="K978" s="16">
        <v>78.8</v>
      </c>
      <c r="L978" s="19">
        <v>0.89600000000000002</v>
      </c>
      <c r="M978" s="19">
        <v>3.1E-2</v>
      </c>
      <c r="N978" s="21">
        <v>80759.070000000007</v>
      </c>
      <c r="O978" s="21">
        <v>59139.7</v>
      </c>
      <c r="P978" s="26">
        <v>21619.37</v>
      </c>
    </row>
    <row r="979" spans="1:16" x14ac:dyDescent="0.3">
      <c r="A979" s="25">
        <v>978</v>
      </c>
      <c r="B979" s="16" t="s">
        <v>55</v>
      </c>
      <c r="C979" s="16">
        <v>2025</v>
      </c>
      <c r="D979" s="16" t="s">
        <v>40</v>
      </c>
      <c r="E979" s="16" t="s">
        <v>32</v>
      </c>
      <c r="F979" s="16" t="s">
        <v>28</v>
      </c>
      <c r="G979" s="16">
        <v>35</v>
      </c>
      <c r="H979" s="16">
        <v>7746</v>
      </c>
      <c r="I979" s="16">
        <v>398.9</v>
      </c>
      <c r="J979" s="19">
        <v>0.71199999999999997</v>
      </c>
      <c r="K979" s="16">
        <v>80.7</v>
      </c>
      <c r="L979" s="19">
        <v>0.86099999999999999</v>
      </c>
      <c r="M979" s="19">
        <v>5.0000000000000001E-3</v>
      </c>
      <c r="N979" s="21">
        <v>41949.77</v>
      </c>
      <c r="O979" s="21">
        <v>27357.09</v>
      </c>
      <c r="P979" s="26">
        <v>14592.68</v>
      </c>
    </row>
    <row r="980" spans="1:16" x14ac:dyDescent="0.3">
      <c r="A980" s="25">
        <v>979</v>
      </c>
      <c r="B980" s="16" t="s">
        <v>55</v>
      </c>
      <c r="C980" s="16">
        <v>2025</v>
      </c>
      <c r="D980" s="16" t="s">
        <v>40</v>
      </c>
      <c r="E980" s="16" t="s">
        <v>27</v>
      </c>
      <c r="F980" s="16" t="s">
        <v>28</v>
      </c>
      <c r="G980" s="16">
        <v>64</v>
      </c>
      <c r="H980" s="16">
        <v>13834</v>
      </c>
      <c r="I980" s="16">
        <v>451.2</v>
      </c>
      <c r="J980" s="19">
        <v>0.76700000000000002</v>
      </c>
      <c r="K980" s="16">
        <v>83.7</v>
      </c>
      <c r="L980" s="19">
        <v>0.89200000000000002</v>
      </c>
      <c r="M980" s="19">
        <v>0.01</v>
      </c>
      <c r="N980" s="21">
        <v>82221.820000000007</v>
      </c>
      <c r="O980" s="21">
        <v>58631.28</v>
      </c>
      <c r="P980" s="26">
        <v>23590.54</v>
      </c>
    </row>
    <row r="981" spans="1:16" x14ac:dyDescent="0.3">
      <c r="A981" s="25">
        <v>980</v>
      </c>
      <c r="B981" s="16" t="s">
        <v>55</v>
      </c>
      <c r="C981" s="16">
        <v>2025</v>
      </c>
      <c r="D981" s="16" t="s">
        <v>40</v>
      </c>
      <c r="E981" s="16" t="s">
        <v>35</v>
      </c>
      <c r="F981" s="16" t="s">
        <v>28</v>
      </c>
      <c r="G981" s="16">
        <v>59</v>
      </c>
      <c r="H981" s="16">
        <v>9320</v>
      </c>
      <c r="I981" s="16">
        <v>382.2</v>
      </c>
      <c r="J981" s="19">
        <v>0.78700000000000003</v>
      </c>
      <c r="K981" s="16">
        <v>91.8</v>
      </c>
      <c r="L981" s="19">
        <v>0.93600000000000005</v>
      </c>
      <c r="M981" s="19">
        <v>3.1E-2</v>
      </c>
      <c r="N981" s="21">
        <v>74699.86</v>
      </c>
      <c r="O981" s="21">
        <v>48494.87</v>
      </c>
      <c r="P981" s="26">
        <v>26204.99</v>
      </c>
    </row>
    <row r="982" spans="1:16" x14ac:dyDescent="0.3">
      <c r="A982" s="25">
        <v>981</v>
      </c>
      <c r="B982" s="16" t="s">
        <v>55</v>
      </c>
      <c r="C982" s="16">
        <v>2025</v>
      </c>
      <c r="D982" s="16" t="s">
        <v>40</v>
      </c>
      <c r="E982" s="16" t="s">
        <v>32</v>
      </c>
      <c r="F982" s="16" t="s">
        <v>29</v>
      </c>
      <c r="G982" s="16">
        <v>78</v>
      </c>
      <c r="H982" s="16">
        <v>12536</v>
      </c>
      <c r="I982" s="16">
        <v>268.10000000000002</v>
      </c>
      <c r="J982" s="19">
        <v>0.56200000000000006</v>
      </c>
      <c r="K982" s="16">
        <v>80.400000000000006</v>
      </c>
      <c r="L982" s="19">
        <v>0.99099999999999999</v>
      </c>
      <c r="M982" s="19">
        <v>2.5000000000000001E-2</v>
      </c>
      <c r="N982" s="21">
        <v>101374.42</v>
      </c>
      <c r="O982" s="21">
        <v>75211.22</v>
      </c>
      <c r="P982" s="26">
        <v>26163.200000000001</v>
      </c>
    </row>
    <row r="983" spans="1:16" x14ac:dyDescent="0.3">
      <c r="A983" s="25">
        <v>982</v>
      </c>
      <c r="B983" s="16" t="s">
        <v>55</v>
      </c>
      <c r="C983" s="16">
        <v>2025</v>
      </c>
      <c r="D983" s="16" t="s">
        <v>40</v>
      </c>
      <c r="E983" s="16" t="s">
        <v>34</v>
      </c>
      <c r="F983" s="16" t="s">
        <v>33</v>
      </c>
      <c r="G983" s="16">
        <v>51</v>
      </c>
      <c r="H983" s="16">
        <v>8056</v>
      </c>
      <c r="I983" s="16">
        <v>522.6</v>
      </c>
      <c r="J983" s="19">
        <v>0.877</v>
      </c>
      <c r="K983" s="16">
        <v>83.5</v>
      </c>
      <c r="L983" s="19">
        <v>0.89200000000000002</v>
      </c>
      <c r="M983" s="19">
        <v>1.7999999999999999E-2</v>
      </c>
      <c r="N983" s="21">
        <v>75638.25</v>
      </c>
      <c r="O983" s="21">
        <v>49178.16</v>
      </c>
      <c r="P983" s="26">
        <v>26460.09</v>
      </c>
    </row>
    <row r="984" spans="1:16" x14ac:dyDescent="0.3">
      <c r="A984" s="25">
        <v>983</v>
      </c>
      <c r="B984" s="16" t="s">
        <v>55</v>
      </c>
      <c r="C984" s="16">
        <v>2025</v>
      </c>
      <c r="D984" s="16" t="s">
        <v>40</v>
      </c>
      <c r="E984" s="16" t="s">
        <v>31</v>
      </c>
      <c r="F984" s="16" t="s">
        <v>33</v>
      </c>
      <c r="G984" s="16">
        <v>54</v>
      </c>
      <c r="H984" s="16">
        <v>12310</v>
      </c>
      <c r="I984" s="16">
        <v>399.9</v>
      </c>
      <c r="J984" s="19">
        <v>0.67</v>
      </c>
      <c r="K984" s="16">
        <v>82.8</v>
      </c>
      <c r="L984" s="19">
        <v>0.95299999999999996</v>
      </c>
      <c r="M984" s="19">
        <v>0.03</v>
      </c>
      <c r="N984" s="21">
        <v>79327.53</v>
      </c>
      <c r="O984" s="21">
        <v>54503.72</v>
      </c>
      <c r="P984" s="26">
        <v>24823.81</v>
      </c>
    </row>
    <row r="985" spans="1:16" x14ac:dyDescent="0.3">
      <c r="A985" s="25">
        <v>984</v>
      </c>
      <c r="B985" s="16" t="s">
        <v>55</v>
      </c>
      <c r="C985" s="16">
        <v>2025</v>
      </c>
      <c r="D985" s="16" t="s">
        <v>40</v>
      </c>
      <c r="E985" s="16" t="s">
        <v>32</v>
      </c>
      <c r="F985" s="16" t="s">
        <v>37</v>
      </c>
      <c r="G985" s="16">
        <v>42</v>
      </c>
      <c r="H985" s="16">
        <v>8737</v>
      </c>
      <c r="I985" s="16">
        <v>664.8</v>
      </c>
      <c r="J985" s="19">
        <v>0.63500000000000001</v>
      </c>
      <c r="K985" s="16">
        <v>86.8</v>
      </c>
      <c r="L985" s="19">
        <v>0.9</v>
      </c>
      <c r="M985" s="19">
        <v>2.7E-2</v>
      </c>
      <c r="N985" s="21">
        <v>54863.68</v>
      </c>
      <c r="O985" s="21">
        <v>37045.75</v>
      </c>
      <c r="P985" s="26">
        <v>17817.93</v>
      </c>
    </row>
    <row r="986" spans="1:16" x14ac:dyDescent="0.3">
      <c r="A986" s="25">
        <v>985</v>
      </c>
      <c r="B986" s="16" t="s">
        <v>55</v>
      </c>
      <c r="C986" s="16">
        <v>2025</v>
      </c>
      <c r="D986" s="16" t="s">
        <v>40</v>
      </c>
      <c r="E986" s="16" t="s">
        <v>31</v>
      </c>
      <c r="F986" s="16" t="s">
        <v>37</v>
      </c>
      <c r="G986" s="16">
        <v>49</v>
      </c>
      <c r="H986" s="16">
        <v>10495</v>
      </c>
      <c r="I986" s="16">
        <v>668.7</v>
      </c>
      <c r="J986" s="19">
        <v>0.72299999999999998</v>
      </c>
      <c r="K986" s="16">
        <v>79.900000000000006</v>
      </c>
      <c r="L986" s="19">
        <v>0.92600000000000005</v>
      </c>
      <c r="M986" s="19">
        <v>2.7E-2</v>
      </c>
      <c r="N986" s="21">
        <v>76409.61</v>
      </c>
      <c r="O986" s="21">
        <v>49455.15</v>
      </c>
      <c r="P986" s="26">
        <v>26954.46</v>
      </c>
    </row>
    <row r="987" spans="1:16" x14ac:dyDescent="0.3">
      <c r="A987" s="25">
        <v>986</v>
      </c>
      <c r="B987" s="16" t="s">
        <v>55</v>
      </c>
      <c r="C987" s="16">
        <v>2025</v>
      </c>
      <c r="D987" s="16" t="s">
        <v>41</v>
      </c>
      <c r="E987" s="16" t="s">
        <v>32</v>
      </c>
      <c r="F987" s="16" t="s">
        <v>28</v>
      </c>
      <c r="G987" s="16">
        <v>48</v>
      </c>
      <c r="H987" s="16">
        <v>8277</v>
      </c>
      <c r="I987" s="16">
        <v>464.3</v>
      </c>
      <c r="J987" s="19">
        <v>0.70499999999999996</v>
      </c>
      <c r="K987" s="16">
        <v>83.9</v>
      </c>
      <c r="L987" s="19">
        <v>0.91900000000000004</v>
      </c>
      <c r="M987" s="19">
        <v>0.03</v>
      </c>
      <c r="N987" s="21">
        <v>84347.22</v>
      </c>
      <c r="O987" s="21">
        <v>62874.66</v>
      </c>
      <c r="P987" s="26">
        <v>21472.560000000001</v>
      </c>
    </row>
    <row r="988" spans="1:16" x14ac:dyDescent="0.3">
      <c r="A988" s="25">
        <v>987</v>
      </c>
      <c r="B988" s="16" t="s">
        <v>55</v>
      </c>
      <c r="C988" s="16">
        <v>2025</v>
      </c>
      <c r="D988" s="16" t="s">
        <v>41</v>
      </c>
      <c r="E988" s="16" t="s">
        <v>27</v>
      </c>
      <c r="F988" s="16" t="s">
        <v>28</v>
      </c>
      <c r="G988" s="16">
        <v>24</v>
      </c>
      <c r="H988" s="16">
        <v>4223</v>
      </c>
      <c r="I988" s="16">
        <v>484.7</v>
      </c>
      <c r="J988" s="19">
        <v>0.74</v>
      </c>
      <c r="K988" s="16">
        <v>84.4</v>
      </c>
      <c r="L988" s="19">
        <v>0.89500000000000002</v>
      </c>
      <c r="M988" s="19">
        <v>1.4999999999999999E-2</v>
      </c>
      <c r="N988" s="21">
        <v>40453.589999999997</v>
      </c>
      <c r="O988" s="21">
        <v>30436.93</v>
      </c>
      <c r="P988" s="26">
        <v>10016.66</v>
      </c>
    </row>
    <row r="989" spans="1:16" x14ac:dyDescent="0.3">
      <c r="A989" s="25">
        <v>988</v>
      </c>
      <c r="B989" s="16" t="s">
        <v>55</v>
      </c>
      <c r="C989" s="16">
        <v>2025</v>
      </c>
      <c r="D989" s="16" t="s">
        <v>41</v>
      </c>
      <c r="E989" s="16" t="s">
        <v>34</v>
      </c>
      <c r="F989" s="16" t="s">
        <v>28</v>
      </c>
      <c r="G989" s="16">
        <v>66</v>
      </c>
      <c r="H989" s="16">
        <v>13577</v>
      </c>
      <c r="I989" s="16">
        <v>372.9</v>
      </c>
      <c r="J989" s="19">
        <v>0.85499999999999998</v>
      </c>
      <c r="K989" s="16">
        <v>87.5</v>
      </c>
      <c r="L989" s="19">
        <v>1</v>
      </c>
      <c r="M989" s="19">
        <v>8.0000000000000002E-3</v>
      </c>
      <c r="N989" s="21">
        <v>131872.22</v>
      </c>
      <c r="O989" s="21">
        <v>91073.279999999999</v>
      </c>
      <c r="P989" s="26">
        <v>40798.94</v>
      </c>
    </row>
    <row r="990" spans="1:16" x14ac:dyDescent="0.3">
      <c r="A990" s="25">
        <v>989</v>
      </c>
      <c r="B990" s="16" t="s">
        <v>55</v>
      </c>
      <c r="C990" s="16">
        <v>2025</v>
      </c>
      <c r="D990" s="16" t="s">
        <v>41</v>
      </c>
      <c r="E990" s="16" t="s">
        <v>32</v>
      </c>
      <c r="F990" s="16" t="s">
        <v>33</v>
      </c>
      <c r="G990" s="16">
        <v>68</v>
      </c>
      <c r="H990" s="16">
        <v>10595</v>
      </c>
      <c r="I990" s="16">
        <v>504.6</v>
      </c>
      <c r="J990" s="19">
        <v>0.83899999999999997</v>
      </c>
      <c r="K990" s="16">
        <v>87.1</v>
      </c>
      <c r="L990" s="19">
        <v>0.84199999999999997</v>
      </c>
      <c r="M990" s="19">
        <v>2.1999999999999999E-2</v>
      </c>
      <c r="N990" s="21">
        <v>126757.33</v>
      </c>
      <c r="O990" s="21">
        <v>90784.78</v>
      </c>
      <c r="P990" s="26">
        <v>35972.550000000003</v>
      </c>
    </row>
    <row r="991" spans="1:16" x14ac:dyDescent="0.3">
      <c r="A991" s="25">
        <v>990</v>
      </c>
      <c r="B991" s="16" t="s">
        <v>55</v>
      </c>
      <c r="C991" s="16">
        <v>2025</v>
      </c>
      <c r="D991" s="16" t="s">
        <v>41</v>
      </c>
      <c r="E991" s="16" t="s">
        <v>27</v>
      </c>
      <c r="F991" s="16" t="s">
        <v>33</v>
      </c>
      <c r="G991" s="16">
        <v>56</v>
      </c>
      <c r="H991" s="16">
        <v>7807</v>
      </c>
      <c r="I991" s="16">
        <v>451.3</v>
      </c>
      <c r="J991" s="19">
        <v>0.84399999999999997</v>
      </c>
      <c r="K991" s="16">
        <v>90.1</v>
      </c>
      <c r="L991" s="19">
        <v>0.91</v>
      </c>
      <c r="M991" s="19">
        <v>2.5000000000000001E-2</v>
      </c>
      <c r="N991" s="21">
        <v>103358.37</v>
      </c>
      <c r="O991" s="21">
        <v>67973.850000000006</v>
      </c>
      <c r="P991" s="26">
        <v>35384.519999999997</v>
      </c>
    </row>
    <row r="992" spans="1:16" x14ac:dyDescent="0.3">
      <c r="A992" s="25">
        <v>991</v>
      </c>
      <c r="B992" s="16" t="s">
        <v>55</v>
      </c>
      <c r="C992" s="16">
        <v>2025</v>
      </c>
      <c r="D992" s="16" t="s">
        <v>41</v>
      </c>
      <c r="E992" s="16" t="s">
        <v>30</v>
      </c>
      <c r="F992" s="16" t="s">
        <v>33</v>
      </c>
      <c r="G992" s="16">
        <v>23</v>
      </c>
      <c r="H992" s="16">
        <v>3843</v>
      </c>
      <c r="I992" s="16">
        <v>487.7</v>
      </c>
      <c r="J992" s="19">
        <v>0.64600000000000002</v>
      </c>
      <c r="K992" s="16">
        <v>88.6</v>
      </c>
      <c r="L992" s="19">
        <v>0.84799999999999998</v>
      </c>
      <c r="M992" s="19">
        <v>0.01</v>
      </c>
      <c r="N992" s="21">
        <v>45071.83</v>
      </c>
      <c r="O992" s="21">
        <v>28614.09</v>
      </c>
      <c r="P992" s="26">
        <v>16457.740000000002</v>
      </c>
    </row>
    <row r="993" spans="1:16" x14ac:dyDescent="0.3">
      <c r="A993" s="25">
        <v>992</v>
      </c>
      <c r="B993" s="16" t="s">
        <v>55</v>
      </c>
      <c r="C993" s="16">
        <v>2025</v>
      </c>
      <c r="D993" s="16" t="s">
        <v>41</v>
      </c>
      <c r="E993" s="16" t="s">
        <v>32</v>
      </c>
      <c r="F993" s="16" t="s">
        <v>36</v>
      </c>
      <c r="G993" s="16">
        <v>74</v>
      </c>
      <c r="H993" s="16">
        <v>15886</v>
      </c>
      <c r="I993" s="16">
        <v>931.1</v>
      </c>
      <c r="J993" s="19">
        <v>0.70399999999999996</v>
      </c>
      <c r="K993" s="16">
        <v>87.1</v>
      </c>
      <c r="L993" s="19">
        <v>0.876</v>
      </c>
      <c r="M993" s="19">
        <v>2.8000000000000001E-2</v>
      </c>
      <c r="N993" s="21">
        <v>97240.24</v>
      </c>
      <c r="O993" s="21">
        <v>63191.5</v>
      </c>
      <c r="P993" s="26">
        <v>34048.74</v>
      </c>
    </row>
    <row r="994" spans="1:16" x14ac:dyDescent="0.3">
      <c r="A994" s="25">
        <v>993</v>
      </c>
      <c r="B994" s="16" t="s">
        <v>55</v>
      </c>
      <c r="C994" s="16">
        <v>2025</v>
      </c>
      <c r="D994" s="16" t="s">
        <v>41</v>
      </c>
      <c r="E994" s="16" t="s">
        <v>27</v>
      </c>
      <c r="F994" s="16" t="s">
        <v>36</v>
      </c>
      <c r="G994" s="16">
        <v>33</v>
      </c>
      <c r="H994" s="16">
        <v>6072</v>
      </c>
      <c r="I994" s="16">
        <v>896.2</v>
      </c>
      <c r="J994" s="19">
        <v>0.61499999999999999</v>
      </c>
      <c r="K994" s="16">
        <v>87.8</v>
      </c>
      <c r="L994" s="19">
        <v>0.83199999999999996</v>
      </c>
      <c r="M994" s="19">
        <v>0.03</v>
      </c>
      <c r="N994" s="21">
        <v>62383.41</v>
      </c>
      <c r="O994" s="21">
        <v>44381.17</v>
      </c>
      <c r="P994" s="26">
        <v>18002.240000000002</v>
      </c>
    </row>
    <row r="995" spans="1:16" x14ac:dyDescent="0.3">
      <c r="A995" s="25">
        <v>994</v>
      </c>
      <c r="B995" s="16" t="s">
        <v>55</v>
      </c>
      <c r="C995" s="16">
        <v>2025</v>
      </c>
      <c r="D995" s="16" t="s">
        <v>41</v>
      </c>
      <c r="E995" s="16" t="s">
        <v>34</v>
      </c>
      <c r="F995" s="16" t="s">
        <v>36</v>
      </c>
      <c r="G995" s="16">
        <v>49</v>
      </c>
      <c r="H995" s="16">
        <v>8280</v>
      </c>
      <c r="I995" s="16">
        <v>859</v>
      </c>
      <c r="J995" s="19">
        <v>0.628</v>
      </c>
      <c r="K995" s="16">
        <v>87.5</v>
      </c>
      <c r="L995" s="19">
        <v>0.88500000000000001</v>
      </c>
      <c r="M995" s="19">
        <v>0</v>
      </c>
      <c r="N995" s="21">
        <v>91561.61</v>
      </c>
      <c r="O995" s="21">
        <v>67665.72</v>
      </c>
      <c r="P995" s="26">
        <v>23895.89</v>
      </c>
    </row>
    <row r="996" spans="1:16" x14ac:dyDescent="0.3">
      <c r="A996" s="25">
        <v>995</v>
      </c>
      <c r="B996" s="16" t="s">
        <v>55</v>
      </c>
      <c r="C996" s="16">
        <v>2025</v>
      </c>
      <c r="D996" s="16" t="s">
        <v>41</v>
      </c>
      <c r="E996" s="16" t="s">
        <v>31</v>
      </c>
      <c r="F996" s="16" t="s">
        <v>36</v>
      </c>
      <c r="G996" s="16">
        <v>34</v>
      </c>
      <c r="H996" s="16">
        <v>5015</v>
      </c>
      <c r="I996" s="16">
        <v>941.7</v>
      </c>
      <c r="J996" s="19">
        <v>0.67300000000000004</v>
      </c>
      <c r="K996" s="16">
        <v>86.6</v>
      </c>
      <c r="L996" s="19">
        <v>0.94</v>
      </c>
      <c r="M996" s="19">
        <v>1.7999999999999999E-2</v>
      </c>
      <c r="N996" s="21">
        <v>72864.33</v>
      </c>
      <c r="O996" s="21">
        <v>50262.27</v>
      </c>
      <c r="P996" s="26">
        <v>22602.06</v>
      </c>
    </row>
    <row r="997" spans="1:16" x14ac:dyDescent="0.3">
      <c r="A997" s="25">
        <v>996</v>
      </c>
      <c r="B997" s="16" t="s">
        <v>55</v>
      </c>
      <c r="C997" s="16">
        <v>2025</v>
      </c>
      <c r="D997" s="16" t="s">
        <v>41</v>
      </c>
      <c r="E997" s="16" t="s">
        <v>34</v>
      </c>
      <c r="F997" s="16" t="s">
        <v>37</v>
      </c>
      <c r="G997" s="16">
        <v>59</v>
      </c>
      <c r="H997" s="16">
        <v>10321</v>
      </c>
      <c r="I997" s="16">
        <v>618.4</v>
      </c>
      <c r="J997" s="19">
        <v>0.628</v>
      </c>
      <c r="K997" s="16">
        <v>76.3</v>
      </c>
      <c r="L997" s="19">
        <v>0.81200000000000006</v>
      </c>
      <c r="M997" s="19">
        <v>7.0000000000000001E-3</v>
      </c>
      <c r="N997" s="21">
        <v>82745.25</v>
      </c>
      <c r="O997" s="21">
        <v>59525.39</v>
      </c>
      <c r="P997" s="26">
        <v>23219.86</v>
      </c>
    </row>
    <row r="998" spans="1:16" x14ac:dyDescent="0.3">
      <c r="A998" s="25">
        <v>997</v>
      </c>
      <c r="B998" s="16" t="s">
        <v>55</v>
      </c>
      <c r="C998" s="16">
        <v>2025</v>
      </c>
      <c r="D998" s="16" t="s">
        <v>41</v>
      </c>
      <c r="E998" s="16" t="s">
        <v>35</v>
      </c>
      <c r="F998" s="16" t="s">
        <v>37</v>
      </c>
      <c r="G998" s="16">
        <v>47</v>
      </c>
      <c r="H998" s="16">
        <v>10122</v>
      </c>
      <c r="I998" s="16">
        <v>642.5</v>
      </c>
      <c r="J998" s="19">
        <v>0.71699999999999997</v>
      </c>
      <c r="K998" s="16">
        <v>84.2</v>
      </c>
      <c r="L998" s="19">
        <v>1</v>
      </c>
      <c r="M998" s="19">
        <v>1.7999999999999999E-2</v>
      </c>
      <c r="N998" s="21">
        <v>67571.320000000007</v>
      </c>
      <c r="O998" s="21">
        <v>51617.35</v>
      </c>
      <c r="P998" s="26">
        <v>15953.97</v>
      </c>
    </row>
    <row r="999" spans="1:16" x14ac:dyDescent="0.3">
      <c r="A999" s="25">
        <v>998</v>
      </c>
      <c r="B999" s="16" t="s">
        <v>56</v>
      </c>
      <c r="C999" s="16">
        <v>2025</v>
      </c>
      <c r="D999" s="16" t="s">
        <v>26</v>
      </c>
      <c r="E999" s="16" t="s">
        <v>32</v>
      </c>
      <c r="F999" s="16" t="s">
        <v>28</v>
      </c>
      <c r="G999" s="16">
        <v>70</v>
      </c>
      <c r="H999" s="16">
        <v>13693</v>
      </c>
      <c r="I999" s="16">
        <v>400.8</v>
      </c>
      <c r="J999" s="19">
        <v>0.878</v>
      </c>
      <c r="K999" s="16">
        <v>72.8</v>
      </c>
      <c r="L999" s="19">
        <v>0.82699999999999996</v>
      </c>
      <c r="M999" s="19">
        <v>2.3E-2</v>
      </c>
      <c r="N999" s="21">
        <v>105361.82</v>
      </c>
      <c r="O999" s="21">
        <v>75892.81</v>
      </c>
      <c r="P999" s="26">
        <v>29469.01</v>
      </c>
    </row>
    <row r="1000" spans="1:16" x14ac:dyDescent="0.3">
      <c r="A1000" s="25">
        <v>999</v>
      </c>
      <c r="B1000" s="16" t="s">
        <v>56</v>
      </c>
      <c r="C1000" s="16">
        <v>2025</v>
      </c>
      <c r="D1000" s="16" t="s">
        <v>26</v>
      </c>
      <c r="E1000" s="16" t="s">
        <v>35</v>
      </c>
      <c r="F1000" s="16" t="s">
        <v>28</v>
      </c>
      <c r="G1000" s="16">
        <v>31</v>
      </c>
      <c r="H1000" s="16">
        <v>7566</v>
      </c>
      <c r="I1000" s="16">
        <v>400.5</v>
      </c>
      <c r="J1000" s="19">
        <v>0.64700000000000002</v>
      </c>
      <c r="K1000" s="16">
        <v>77.8</v>
      </c>
      <c r="L1000" s="19">
        <v>0.95</v>
      </c>
      <c r="M1000" s="19">
        <v>1.4999999999999999E-2</v>
      </c>
      <c r="N1000" s="21">
        <v>37077.81</v>
      </c>
      <c r="O1000" s="21">
        <v>24080.58</v>
      </c>
      <c r="P1000" s="26">
        <v>12997.23</v>
      </c>
    </row>
    <row r="1001" spans="1:16" x14ac:dyDescent="0.3">
      <c r="A1001" s="25">
        <v>1000</v>
      </c>
      <c r="B1001" s="16" t="s">
        <v>56</v>
      </c>
      <c r="C1001" s="16">
        <v>2025</v>
      </c>
      <c r="D1001" s="16" t="s">
        <v>26</v>
      </c>
      <c r="E1001" s="16" t="s">
        <v>32</v>
      </c>
      <c r="F1001" s="16" t="s">
        <v>29</v>
      </c>
      <c r="G1001" s="16">
        <v>44</v>
      </c>
      <c r="H1001" s="16">
        <v>7585</v>
      </c>
      <c r="I1001" s="16">
        <v>296.8</v>
      </c>
      <c r="J1001" s="19">
        <v>0.7</v>
      </c>
      <c r="K1001" s="16">
        <v>80.7</v>
      </c>
      <c r="L1001" s="19">
        <v>0.93</v>
      </c>
      <c r="M1001" s="19">
        <v>3.3000000000000002E-2</v>
      </c>
      <c r="N1001" s="21">
        <v>59668.21</v>
      </c>
      <c r="O1001" s="21">
        <v>45297.81</v>
      </c>
      <c r="P1001" s="26">
        <v>14370.4</v>
      </c>
    </row>
    <row r="1002" spans="1:16" x14ac:dyDescent="0.3">
      <c r="A1002" s="25">
        <v>1001</v>
      </c>
      <c r="B1002" s="16" t="s">
        <v>56</v>
      </c>
      <c r="C1002" s="16">
        <v>2025</v>
      </c>
      <c r="D1002" s="16" t="s">
        <v>26</v>
      </c>
      <c r="E1002" s="16" t="s">
        <v>27</v>
      </c>
      <c r="F1002" s="16" t="s">
        <v>29</v>
      </c>
      <c r="G1002" s="16">
        <v>69</v>
      </c>
      <c r="H1002" s="16">
        <v>11437</v>
      </c>
      <c r="I1002" s="16">
        <v>265.8</v>
      </c>
      <c r="J1002" s="19">
        <v>0.57899999999999996</v>
      </c>
      <c r="K1002" s="16">
        <v>79.900000000000006</v>
      </c>
      <c r="L1002" s="19">
        <v>0.92800000000000005</v>
      </c>
      <c r="M1002" s="19">
        <v>8.9999999999999993E-3</v>
      </c>
      <c r="N1002" s="21">
        <v>72282.2</v>
      </c>
      <c r="O1002" s="21">
        <v>48689.86</v>
      </c>
      <c r="P1002" s="26">
        <v>23592.34</v>
      </c>
    </row>
    <row r="1003" spans="1:16" x14ac:dyDescent="0.3">
      <c r="A1003" s="25">
        <v>1002</v>
      </c>
      <c r="B1003" s="16" t="s">
        <v>56</v>
      </c>
      <c r="C1003" s="16">
        <v>2025</v>
      </c>
      <c r="D1003" s="16" t="s">
        <v>26</v>
      </c>
      <c r="E1003" s="16" t="s">
        <v>30</v>
      </c>
      <c r="F1003" s="16" t="s">
        <v>29</v>
      </c>
      <c r="G1003" s="16">
        <v>46</v>
      </c>
      <c r="H1003" s="16">
        <v>9482</v>
      </c>
      <c r="I1003" s="16">
        <v>355.3</v>
      </c>
      <c r="J1003" s="19">
        <v>0.60899999999999999</v>
      </c>
      <c r="K1003" s="16">
        <v>79.900000000000006</v>
      </c>
      <c r="L1003" s="19">
        <v>0.92200000000000004</v>
      </c>
      <c r="M1003" s="19">
        <v>3.1E-2</v>
      </c>
      <c r="N1003" s="21">
        <v>48793.59</v>
      </c>
      <c r="O1003" s="21">
        <v>33277.870000000003</v>
      </c>
      <c r="P1003" s="26">
        <v>15515.72</v>
      </c>
    </row>
    <row r="1004" spans="1:16" x14ac:dyDescent="0.3">
      <c r="A1004" s="25">
        <v>1003</v>
      </c>
      <c r="B1004" s="16" t="s">
        <v>56</v>
      </c>
      <c r="C1004" s="16">
        <v>2025</v>
      </c>
      <c r="D1004" s="16" t="s">
        <v>26</v>
      </c>
      <c r="E1004" s="16" t="s">
        <v>34</v>
      </c>
      <c r="F1004" s="16" t="s">
        <v>29</v>
      </c>
      <c r="G1004" s="16">
        <v>42</v>
      </c>
      <c r="H1004" s="16">
        <v>8018</v>
      </c>
      <c r="I1004" s="16">
        <v>318.3</v>
      </c>
      <c r="J1004" s="19">
        <v>0.73099999999999998</v>
      </c>
      <c r="K1004" s="16">
        <v>85</v>
      </c>
      <c r="L1004" s="19">
        <v>0.97799999999999998</v>
      </c>
      <c r="M1004" s="19">
        <v>2.5000000000000001E-2</v>
      </c>
      <c r="N1004" s="21">
        <v>47301.31</v>
      </c>
      <c r="O1004" s="21">
        <v>34305.019999999997</v>
      </c>
      <c r="P1004" s="26">
        <v>12996.29</v>
      </c>
    </row>
    <row r="1005" spans="1:16" x14ac:dyDescent="0.3">
      <c r="A1005" s="25">
        <v>1004</v>
      </c>
      <c r="B1005" s="16" t="s">
        <v>56</v>
      </c>
      <c r="C1005" s="16">
        <v>2025</v>
      </c>
      <c r="D1005" s="16" t="s">
        <v>26</v>
      </c>
      <c r="E1005" s="16" t="s">
        <v>31</v>
      </c>
      <c r="F1005" s="16" t="s">
        <v>29</v>
      </c>
      <c r="G1005" s="16">
        <v>69</v>
      </c>
      <c r="H1005" s="16">
        <v>12639</v>
      </c>
      <c r="I1005" s="16">
        <v>286.7</v>
      </c>
      <c r="J1005" s="19">
        <v>0.55800000000000005</v>
      </c>
      <c r="K1005" s="16">
        <v>80.599999999999994</v>
      </c>
      <c r="L1005" s="19">
        <v>0.85199999999999998</v>
      </c>
      <c r="M1005" s="19">
        <v>1.7000000000000001E-2</v>
      </c>
      <c r="N1005" s="21">
        <v>60022.720000000001</v>
      </c>
      <c r="O1005" s="21">
        <v>41739.81</v>
      </c>
      <c r="P1005" s="26">
        <v>18282.91</v>
      </c>
    </row>
    <row r="1006" spans="1:16" x14ac:dyDescent="0.3">
      <c r="A1006" s="25">
        <v>1005</v>
      </c>
      <c r="B1006" s="16" t="s">
        <v>56</v>
      </c>
      <c r="C1006" s="16">
        <v>2025</v>
      </c>
      <c r="D1006" s="16" t="s">
        <v>26</v>
      </c>
      <c r="E1006" s="16" t="s">
        <v>27</v>
      </c>
      <c r="F1006" s="16" t="s">
        <v>33</v>
      </c>
      <c r="G1006" s="16">
        <v>67</v>
      </c>
      <c r="H1006" s="16">
        <v>11797</v>
      </c>
      <c r="I1006" s="16">
        <v>448.5</v>
      </c>
      <c r="J1006" s="19">
        <v>0.754</v>
      </c>
      <c r="K1006" s="16">
        <v>93.8</v>
      </c>
      <c r="L1006" s="19">
        <v>0.878</v>
      </c>
      <c r="M1006" s="19">
        <v>3.1E-2</v>
      </c>
      <c r="N1006" s="21">
        <v>67622.73</v>
      </c>
      <c r="O1006" s="21">
        <v>51188.73</v>
      </c>
      <c r="P1006" s="26">
        <v>16434</v>
      </c>
    </row>
    <row r="1007" spans="1:16" x14ac:dyDescent="0.3">
      <c r="A1007" s="25">
        <v>1006</v>
      </c>
      <c r="B1007" s="16" t="s">
        <v>56</v>
      </c>
      <c r="C1007" s="16">
        <v>2025</v>
      </c>
      <c r="D1007" s="16" t="s">
        <v>26</v>
      </c>
      <c r="E1007" s="16" t="s">
        <v>35</v>
      </c>
      <c r="F1007" s="16" t="s">
        <v>33</v>
      </c>
      <c r="G1007" s="16">
        <v>60</v>
      </c>
      <c r="H1007" s="16">
        <v>10590</v>
      </c>
      <c r="I1007" s="16">
        <v>470.3</v>
      </c>
      <c r="J1007" s="19">
        <v>0.69399999999999995</v>
      </c>
      <c r="K1007" s="16">
        <v>79.099999999999994</v>
      </c>
      <c r="L1007" s="19">
        <v>0.84</v>
      </c>
      <c r="M1007" s="19">
        <v>3.5000000000000003E-2</v>
      </c>
      <c r="N1007" s="21">
        <v>76724.740000000005</v>
      </c>
      <c r="O1007" s="21">
        <v>48256.55</v>
      </c>
      <c r="P1007" s="26">
        <v>28468.19</v>
      </c>
    </row>
    <row r="1008" spans="1:16" x14ac:dyDescent="0.3">
      <c r="A1008" s="25">
        <v>1007</v>
      </c>
      <c r="B1008" s="16" t="s">
        <v>56</v>
      </c>
      <c r="C1008" s="16">
        <v>2025</v>
      </c>
      <c r="D1008" s="16" t="s">
        <v>26</v>
      </c>
      <c r="E1008" s="16" t="s">
        <v>27</v>
      </c>
      <c r="F1008" s="16" t="s">
        <v>36</v>
      </c>
      <c r="G1008" s="16">
        <v>72</v>
      </c>
      <c r="H1008" s="16">
        <v>13415</v>
      </c>
      <c r="I1008" s="16">
        <v>938</v>
      </c>
      <c r="J1008" s="19">
        <v>0.59699999999999998</v>
      </c>
      <c r="K1008" s="16">
        <v>86.4</v>
      </c>
      <c r="L1008" s="19">
        <v>0.95099999999999996</v>
      </c>
      <c r="M1008" s="19">
        <v>2.8000000000000001E-2</v>
      </c>
      <c r="N1008" s="21">
        <v>87905.05</v>
      </c>
      <c r="O1008" s="21">
        <v>55153.08</v>
      </c>
      <c r="P1008" s="26">
        <v>32751.97</v>
      </c>
    </row>
    <row r="1009" spans="1:16" x14ac:dyDescent="0.3">
      <c r="A1009" s="25">
        <v>1008</v>
      </c>
      <c r="B1009" s="16" t="s">
        <v>56</v>
      </c>
      <c r="C1009" s="16">
        <v>2025</v>
      </c>
      <c r="D1009" s="16" t="s">
        <v>26</v>
      </c>
      <c r="E1009" s="16" t="s">
        <v>31</v>
      </c>
      <c r="F1009" s="16" t="s">
        <v>36</v>
      </c>
      <c r="G1009" s="16">
        <v>35</v>
      </c>
      <c r="H1009" s="16">
        <v>5599</v>
      </c>
      <c r="I1009" s="16">
        <v>840.9</v>
      </c>
      <c r="J1009" s="19">
        <v>0.66900000000000004</v>
      </c>
      <c r="K1009" s="16">
        <v>88.5</v>
      </c>
      <c r="L1009" s="19">
        <v>0.86799999999999999</v>
      </c>
      <c r="M1009" s="19">
        <v>0.03</v>
      </c>
      <c r="N1009" s="21">
        <v>45559.08</v>
      </c>
      <c r="O1009" s="21">
        <v>32239.34</v>
      </c>
      <c r="P1009" s="26">
        <v>13319.74</v>
      </c>
    </row>
    <row r="1010" spans="1:16" x14ac:dyDescent="0.3">
      <c r="A1010" s="25">
        <v>1009</v>
      </c>
      <c r="B1010" s="16" t="s">
        <v>56</v>
      </c>
      <c r="C1010" s="16">
        <v>2025</v>
      </c>
      <c r="D1010" s="16" t="s">
        <v>26</v>
      </c>
      <c r="E1010" s="16" t="s">
        <v>32</v>
      </c>
      <c r="F1010" s="16" t="s">
        <v>37</v>
      </c>
      <c r="G1010" s="16">
        <v>22</v>
      </c>
      <c r="H1010" s="16">
        <v>3233</v>
      </c>
      <c r="I1010" s="16">
        <v>645.1</v>
      </c>
      <c r="J1010" s="19">
        <v>0.56799999999999995</v>
      </c>
      <c r="K1010" s="16">
        <v>76.599999999999994</v>
      </c>
      <c r="L1010" s="19">
        <v>0.92900000000000005</v>
      </c>
      <c r="M1010" s="19">
        <v>1.4E-2</v>
      </c>
      <c r="N1010" s="21">
        <v>24476.6</v>
      </c>
      <c r="O1010" s="21">
        <v>16366.75</v>
      </c>
      <c r="P1010" s="26">
        <v>8109.85</v>
      </c>
    </row>
    <row r="1011" spans="1:16" x14ac:dyDescent="0.3">
      <c r="A1011" s="25">
        <v>1010</v>
      </c>
      <c r="B1011" s="16" t="s">
        <v>56</v>
      </c>
      <c r="C1011" s="16">
        <v>2025</v>
      </c>
      <c r="D1011" s="16" t="s">
        <v>26</v>
      </c>
      <c r="E1011" s="16" t="s">
        <v>30</v>
      </c>
      <c r="F1011" s="16" t="s">
        <v>37</v>
      </c>
      <c r="G1011" s="16">
        <v>60</v>
      </c>
      <c r="H1011" s="16">
        <v>9386</v>
      </c>
      <c r="I1011" s="16">
        <v>715.1</v>
      </c>
      <c r="J1011" s="19">
        <v>0.80900000000000005</v>
      </c>
      <c r="K1011" s="16">
        <v>82.6</v>
      </c>
      <c r="L1011" s="19">
        <v>0.86699999999999999</v>
      </c>
      <c r="M1011" s="19">
        <v>7.0000000000000001E-3</v>
      </c>
      <c r="N1011" s="21">
        <v>87235.56</v>
      </c>
      <c r="O1011" s="21">
        <v>65293.09</v>
      </c>
      <c r="P1011" s="26">
        <v>21942.47</v>
      </c>
    </row>
    <row r="1012" spans="1:16" x14ac:dyDescent="0.3">
      <c r="A1012" s="25">
        <v>1011</v>
      </c>
      <c r="B1012" s="16" t="s">
        <v>56</v>
      </c>
      <c r="C1012" s="16">
        <v>2025</v>
      </c>
      <c r="D1012" s="16" t="s">
        <v>26</v>
      </c>
      <c r="E1012" s="16" t="s">
        <v>35</v>
      </c>
      <c r="F1012" s="16" t="s">
        <v>37</v>
      </c>
      <c r="G1012" s="16">
        <v>50</v>
      </c>
      <c r="H1012" s="16">
        <v>8029</v>
      </c>
      <c r="I1012" s="16">
        <v>652.70000000000005</v>
      </c>
      <c r="J1012" s="19">
        <v>0.64700000000000002</v>
      </c>
      <c r="K1012" s="16">
        <v>85.9</v>
      </c>
      <c r="L1012" s="19">
        <v>0.81399999999999995</v>
      </c>
      <c r="M1012" s="19">
        <v>4.9000000000000002E-2</v>
      </c>
      <c r="N1012" s="21">
        <v>42255.59</v>
      </c>
      <c r="O1012" s="21">
        <v>27731.63</v>
      </c>
      <c r="P1012" s="26">
        <v>14523.96</v>
      </c>
    </row>
    <row r="1013" spans="1:16" x14ac:dyDescent="0.3">
      <c r="A1013" s="25">
        <v>1012</v>
      </c>
      <c r="B1013" s="16" t="s">
        <v>56</v>
      </c>
      <c r="C1013" s="16">
        <v>2025</v>
      </c>
      <c r="D1013" s="16" t="s">
        <v>38</v>
      </c>
      <c r="E1013" s="16" t="s">
        <v>27</v>
      </c>
      <c r="F1013" s="16" t="s">
        <v>28</v>
      </c>
      <c r="G1013" s="16">
        <v>48</v>
      </c>
      <c r="H1013" s="16">
        <v>8756</v>
      </c>
      <c r="I1013" s="16">
        <v>520.70000000000005</v>
      </c>
      <c r="J1013" s="19">
        <v>0.88700000000000001</v>
      </c>
      <c r="K1013" s="16">
        <v>80.5</v>
      </c>
      <c r="L1013" s="19">
        <v>0.93</v>
      </c>
      <c r="M1013" s="19">
        <v>4.2999999999999997E-2</v>
      </c>
      <c r="N1013" s="21">
        <v>74997.91</v>
      </c>
      <c r="O1013" s="21">
        <v>54564.26</v>
      </c>
      <c r="P1013" s="26">
        <v>20433.650000000001</v>
      </c>
    </row>
    <row r="1014" spans="1:16" x14ac:dyDescent="0.3">
      <c r="A1014" s="25">
        <v>1013</v>
      </c>
      <c r="B1014" s="16" t="s">
        <v>56</v>
      </c>
      <c r="C1014" s="16">
        <v>2025</v>
      </c>
      <c r="D1014" s="16" t="s">
        <v>38</v>
      </c>
      <c r="E1014" s="16" t="s">
        <v>35</v>
      </c>
      <c r="F1014" s="16" t="s">
        <v>28</v>
      </c>
      <c r="G1014" s="16">
        <v>42</v>
      </c>
      <c r="H1014" s="16">
        <v>6190</v>
      </c>
      <c r="I1014" s="16">
        <v>328.3</v>
      </c>
      <c r="J1014" s="19">
        <v>0.71299999999999997</v>
      </c>
      <c r="K1014" s="16">
        <v>76.099999999999994</v>
      </c>
      <c r="L1014" s="19">
        <v>0.86899999999999999</v>
      </c>
      <c r="M1014" s="19">
        <v>3.5000000000000003E-2</v>
      </c>
      <c r="N1014" s="21">
        <v>52063.93</v>
      </c>
      <c r="O1014" s="21">
        <v>36215.339999999997</v>
      </c>
      <c r="P1014" s="26">
        <v>15848.59</v>
      </c>
    </row>
    <row r="1015" spans="1:16" x14ac:dyDescent="0.3">
      <c r="A1015" s="25">
        <v>1014</v>
      </c>
      <c r="B1015" s="16" t="s">
        <v>56</v>
      </c>
      <c r="C1015" s="16">
        <v>2025</v>
      </c>
      <c r="D1015" s="16" t="s">
        <v>38</v>
      </c>
      <c r="E1015" s="16" t="s">
        <v>31</v>
      </c>
      <c r="F1015" s="16" t="s">
        <v>29</v>
      </c>
      <c r="G1015" s="16">
        <v>42</v>
      </c>
      <c r="H1015" s="16">
        <v>6212</v>
      </c>
      <c r="I1015" s="16">
        <v>338.9</v>
      </c>
      <c r="J1015" s="19">
        <v>0.65900000000000003</v>
      </c>
      <c r="K1015" s="16">
        <v>76.900000000000006</v>
      </c>
      <c r="L1015" s="19">
        <v>1</v>
      </c>
      <c r="M1015" s="19">
        <v>2.8000000000000001E-2</v>
      </c>
      <c r="N1015" s="21">
        <v>52616.29</v>
      </c>
      <c r="O1015" s="21">
        <v>33546.97</v>
      </c>
      <c r="P1015" s="26">
        <v>19069.32</v>
      </c>
    </row>
    <row r="1016" spans="1:16" x14ac:dyDescent="0.3">
      <c r="A1016" s="25">
        <v>1015</v>
      </c>
      <c r="B1016" s="16" t="s">
        <v>56</v>
      </c>
      <c r="C1016" s="16">
        <v>2025</v>
      </c>
      <c r="D1016" s="16" t="s">
        <v>38</v>
      </c>
      <c r="E1016" s="16" t="s">
        <v>31</v>
      </c>
      <c r="F1016" s="16" t="s">
        <v>33</v>
      </c>
      <c r="G1016" s="16">
        <v>32</v>
      </c>
      <c r="H1016" s="16">
        <v>7397</v>
      </c>
      <c r="I1016" s="16">
        <v>476.9</v>
      </c>
      <c r="J1016" s="19">
        <v>0.58399999999999996</v>
      </c>
      <c r="K1016" s="16">
        <v>92.3</v>
      </c>
      <c r="L1016" s="19">
        <v>0.92700000000000005</v>
      </c>
      <c r="M1016" s="19">
        <v>4.4999999999999998E-2</v>
      </c>
      <c r="N1016" s="21">
        <v>40556.01</v>
      </c>
      <c r="O1016" s="21">
        <v>28062.75</v>
      </c>
      <c r="P1016" s="26">
        <v>12493.26</v>
      </c>
    </row>
    <row r="1017" spans="1:16" x14ac:dyDescent="0.3">
      <c r="A1017" s="25">
        <v>1016</v>
      </c>
      <c r="B1017" s="16" t="s">
        <v>56</v>
      </c>
      <c r="C1017" s="16">
        <v>2025</v>
      </c>
      <c r="D1017" s="16" t="s">
        <v>38</v>
      </c>
      <c r="E1017" s="16" t="s">
        <v>35</v>
      </c>
      <c r="F1017" s="16" t="s">
        <v>33</v>
      </c>
      <c r="G1017" s="16">
        <v>51</v>
      </c>
      <c r="H1017" s="16">
        <v>11490</v>
      </c>
      <c r="I1017" s="16">
        <v>567.29999999999995</v>
      </c>
      <c r="J1017" s="19">
        <v>0.71799999999999997</v>
      </c>
      <c r="K1017" s="16">
        <v>96.1</v>
      </c>
      <c r="L1017" s="19">
        <v>0.99</v>
      </c>
      <c r="M1017" s="19">
        <v>0.04</v>
      </c>
      <c r="N1017" s="21">
        <v>75728.479999999996</v>
      </c>
      <c r="O1017" s="21">
        <v>54740.22</v>
      </c>
      <c r="P1017" s="26">
        <v>20988.26</v>
      </c>
    </row>
    <row r="1018" spans="1:16" x14ac:dyDescent="0.3">
      <c r="A1018" s="25">
        <v>1017</v>
      </c>
      <c r="B1018" s="16" t="s">
        <v>56</v>
      </c>
      <c r="C1018" s="16">
        <v>2025</v>
      </c>
      <c r="D1018" s="16" t="s">
        <v>38</v>
      </c>
      <c r="E1018" s="16" t="s">
        <v>27</v>
      </c>
      <c r="F1018" s="16" t="s">
        <v>36</v>
      </c>
      <c r="G1018" s="16">
        <v>23</v>
      </c>
      <c r="H1018" s="16">
        <v>3998</v>
      </c>
      <c r="I1018" s="16">
        <v>915.6</v>
      </c>
      <c r="J1018" s="19">
        <v>0.70399999999999996</v>
      </c>
      <c r="K1018" s="16">
        <v>78.8</v>
      </c>
      <c r="L1018" s="19">
        <v>0.85599999999999998</v>
      </c>
      <c r="M1018" s="19">
        <v>1.6E-2</v>
      </c>
      <c r="N1018" s="21">
        <v>33855.480000000003</v>
      </c>
      <c r="O1018" s="21">
        <v>24288.76</v>
      </c>
      <c r="P1018" s="26">
        <v>9566.7199999999993</v>
      </c>
    </row>
    <row r="1019" spans="1:16" x14ac:dyDescent="0.3">
      <c r="A1019" s="25">
        <v>1018</v>
      </c>
      <c r="B1019" s="16" t="s">
        <v>56</v>
      </c>
      <c r="C1019" s="16">
        <v>2025</v>
      </c>
      <c r="D1019" s="16" t="s">
        <v>38</v>
      </c>
      <c r="E1019" s="16" t="s">
        <v>30</v>
      </c>
      <c r="F1019" s="16" t="s">
        <v>36</v>
      </c>
      <c r="G1019" s="16">
        <v>66</v>
      </c>
      <c r="H1019" s="16">
        <v>11811</v>
      </c>
      <c r="I1019" s="16">
        <v>830.3</v>
      </c>
      <c r="J1019" s="19">
        <v>0.67300000000000004</v>
      </c>
      <c r="K1019" s="16">
        <v>83.7</v>
      </c>
      <c r="L1019" s="19">
        <v>0.90300000000000002</v>
      </c>
      <c r="M1019" s="19">
        <v>2.7E-2</v>
      </c>
      <c r="N1019" s="21">
        <v>89841.31</v>
      </c>
      <c r="O1019" s="21">
        <v>61067.1</v>
      </c>
      <c r="P1019" s="26">
        <v>28774.21</v>
      </c>
    </row>
    <row r="1020" spans="1:16" x14ac:dyDescent="0.3">
      <c r="A1020" s="25">
        <v>1019</v>
      </c>
      <c r="B1020" s="16" t="s">
        <v>56</v>
      </c>
      <c r="C1020" s="16">
        <v>2025</v>
      </c>
      <c r="D1020" s="16" t="s">
        <v>38</v>
      </c>
      <c r="E1020" s="16" t="s">
        <v>34</v>
      </c>
      <c r="F1020" s="16" t="s">
        <v>36</v>
      </c>
      <c r="G1020" s="16">
        <v>18</v>
      </c>
      <c r="H1020" s="16">
        <v>3057</v>
      </c>
      <c r="I1020" s="16">
        <v>901.7</v>
      </c>
      <c r="J1020" s="19">
        <v>0.77300000000000002</v>
      </c>
      <c r="K1020" s="16">
        <v>82.2</v>
      </c>
      <c r="L1020" s="19">
        <v>0.91700000000000004</v>
      </c>
      <c r="M1020" s="19">
        <v>3.6999999999999998E-2</v>
      </c>
      <c r="N1020" s="21">
        <v>25655.91</v>
      </c>
      <c r="O1020" s="21">
        <v>17101.03</v>
      </c>
      <c r="P1020" s="26">
        <v>8554.8799999999992</v>
      </c>
    </row>
    <row r="1021" spans="1:16" x14ac:dyDescent="0.3">
      <c r="A1021" s="25">
        <v>1020</v>
      </c>
      <c r="B1021" s="16" t="s">
        <v>56</v>
      </c>
      <c r="C1021" s="16">
        <v>2025</v>
      </c>
      <c r="D1021" s="16" t="s">
        <v>38</v>
      </c>
      <c r="E1021" s="16" t="s">
        <v>31</v>
      </c>
      <c r="F1021" s="16" t="s">
        <v>36</v>
      </c>
      <c r="G1021" s="16">
        <v>40</v>
      </c>
      <c r="H1021" s="16">
        <v>7220</v>
      </c>
      <c r="I1021" s="16">
        <v>874.4</v>
      </c>
      <c r="J1021" s="19">
        <v>0.73</v>
      </c>
      <c r="K1021" s="16">
        <v>81.400000000000006</v>
      </c>
      <c r="L1021" s="19">
        <v>0.89400000000000002</v>
      </c>
      <c r="M1021" s="19">
        <v>3.4000000000000002E-2</v>
      </c>
      <c r="N1021" s="21">
        <v>56004.02</v>
      </c>
      <c r="O1021" s="21">
        <v>36751.760000000002</v>
      </c>
      <c r="P1021" s="26">
        <v>19252.259999999998</v>
      </c>
    </row>
    <row r="1022" spans="1:16" x14ac:dyDescent="0.3">
      <c r="A1022" s="25">
        <v>1021</v>
      </c>
      <c r="B1022" s="16" t="s">
        <v>56</v>
      </c>
      <c r="C1022" s="16">
        <v>2025</v>
      </c>
      <c r="D1022" s="16" t="s">
        <v>38</v>
      </c>
      <c r="E1022" s="16" t="s">
        <v>32</v>
      </c>
      <c r="F1022" s="16" t="s">
        <v>37</v>
      </c>
      <c r="G1022" s="16">
        <v>65</v>
      </c>
      <c r="H1022" s="16">
        <v>13038</v>
      </c>
      <c r="I1022" s="16">
        <v>521.79999999999995</v>
      </c>
      <c r="J1022" s="19">
        <v>0.67500000000000004</v>
      </c>
      <c r="K1022" s="16">
        <v>82.7</v>
      </c>
      <c r="L1022" s="19">
        <v>0.877</v>
      </c>
      <c r="M1022" s="19">
        <v>2.1999999999999999E-2</v>
      </c>
      <c r="N1022" s="21">
        <v>98850.21</v>
      </c>
      <c r="O1022" s="21">
        <v>63680.75</v>
      </c>
      <c r="P1022" s="26">
        <v>35169.46</v>
      </c>
    </row>
    <row r="1023" spans="1:16" x14ac:dyDescent="0.3">
      <c r="A1023" s="25">
        <v>1022</v>
      </c>
      <c r="B1023" s="16" t="s">
        <v>56</v>
      </c>
      <c r="C1023" s="16">
        <v>2025</v>
      </c>
      <c r="D1023" s="16" t="s">
        <v>38</v>
      </c>
      <c r="E1023" s="16" t="s">
        <v>27</v>
      </c>
      <c r="F1023" s="16" t="s">
        <v>37</v>
      </c>
      <c r="G1023" s="16">
        <v>46</v>
      </c>
      <c r="H1023" s="16">
        <v>8079</v>
      </c>
      <c r="I1023" s="16">
        <v>671.3</v>
      </c>
      <c r="J1023" s="19">
        <v>0.59399999999999997</v>
      </c>
      <c r="K1023" s="16">
        <v>78.7</v>
      </c>
      <c r="L1023" s="19">
        <v>0.89600000000000002</v>
      </c>
      <c r="M1023" s="19">
        <v>4.2000000000000003E-2</v>
      </c>
      <c r="N1023" s="21">
        <v>48003.99</v>
      </c>
      <c r="O1023" s="21">
        <v>35508.44</v>
      </c>
      <c r="P1023" s="26">
        <v>12495.55</v>
      </c>
    </row>
    <row r="1024" spans="1:16" x14ac:dyDescent="0.3">
      <c r="A1024" s="25">
        <v>1023</v>
      </c>
      <c r="B1024" s="16" t="s">
        <v>56</v>
      </c>
      <c r="C1024" s="16">
        <v>2025</v>
      </c>
      <c r="D1024" s="16" t="s">
        <v>38</v>
      </c>
      <c r="E1024" s="16" t="s">
        <v>31</v>
      </c>
      <c r="F1024" s="16" t="s">
        <v>37</v>
      </c>
      <c r="G1024" s="16">
        <v>40</v>
      </c>
      <c r="H1024" s="16">
        <v>7693</v>
      </c>
      <c r="I1024" s="16">
        <v>634.9</v>
      </c>
      <c r="J1024" s="19">
        <v>0.61199999999999999</v>
      </c>
      <c r="K1024" s="16">
        <v>83.2</v>
      </c>
      <c r="L1024" s="19">
        <v>0.94099999999999995</v>
      </c>
      <c r="M1024" s="19">
        <v>3.1E-2</v>
      </c>
      <c r="N1024" s="21">
        <v>53971.07</v>
      </c>
      <c r="O1024" s="21">
        <v>35067.919999999998</v>
      </c>
      <c r="P1024" s="26">
        <v>18903.150000000001</v>
      </c>
    </row>
    <row r="1025" spans="1:16" x14ac:dyDescent="0.3">
      <c r="A1025" s="25">
        <v>1024</v>
      </c>
      <c r="B1025" s="16" t="s">
        <v>56</v>
      </c>
      <c r="C1025" s="16">
        <v>2025</v>
      </c>
      <c r="D1025" s="16" t="s">
        <v>38</v>
      </c>
      <c r="E1025" s="16" t="s">
        <v>35</v>
      </c>
      <c r="F1025" s="16" t="s">
        <v>37</v>
      </c>
      <c r="G1025" s="16">
        <v>43</v>
      </c>
      <c r="H1025" s="16">
        <v>8112</v>
      </c>
      <c r="I1025" s="16">
        <v>644.4</v>
      </c>
      <c r="J1025" s="19">
        <v>0.71799999999999997</v>
      </c>
      <c r="K1025" s="16">
        <v>83.2</v>
      </c>
      <c r="L1025" s="19">
        <v>0.85799999999999998</v>
      </c>
      <c r="M1025" s="19">
        <v>2.5999999999999999E-2</v>
      </c>
      <c r="N1025" s="21">
        <v>59899.71</v>
      </c>
      <c r="O1025" s="21">
        <v>40193.68</v>
      </c>
      <c r="P1025" s="26">
        <v>19706.03</v>
      </c>
    </row>
    <row r="1026" spans="1:16" x14ac:dyDescent="0.3">
      <c r="A1026" s="25">
        <v>1025</v>
      </c>
      <c r="B1026" s="16" t="s">
        <v>56</v>
      </c>
      <c r="C1026" s="16">
        <v>2025</v>
      </c>
      <c r="D1026" s="16" t="s">
        <v>39</v>
      </c>
      <c r="E1026" s="16" t="s">
        <v>32</v>
      </c>
      <c r="F1026" s="16" t="s">
        <v>28</v>
      </c>
      <c r="G1026" s="16">
        <v>68</v>
      </c>
      <c r="H1026" s="16">
        <v>13678</v>
      </c>
      <c r="I1026" s="16">
        <v>382.3</v>
      </c>
      <c r="J1026" s="19">
        <v>0.73</v>
      </c>
      <c r="K1026" s="16">
        <v>77.5</v>
      </c>
      <c r="L1026" s="19">
        <v>0.79100000000000004</v>
      </c>
      <c r="M1026" s="19">
        <v>2.4E-2</v>
      </c>
      <c r="N1026" s="21">
        <v>110918.3</v>
      </c>
      <c r="O1026" s="21">
        <v>83327.95</v>
      </c>
      <c r="P1026" s="26">
        <v>27590.35</v>
      </c>
    </row>
    <row r="1027" spans="1:16" x14ac:dyDescent="0.3">
      <c r="A1027" s="25">
        <v>1026</v>
      </c>
      <c r="B1027" s="16" t="s">
        <v>56</v>
      </c>
      <c r="C1027" s="16">
        <v>2025</v>
      </c>
      <c r="D1027" s="16" t="s">
        <v>39</v>
      </c>
      <c r="E1027" s="16" t="s">
        <v>32</v>
      </c>
      <c r="F1027" s="16" t="s">
        <v>29</v>
      </c>
      <c r="G1027" s="16">
        <v>48</v>
      </c>
      <c r="H1027" s="16">
        <v>10274</v>
      </c>
      <c r="I1027" s="16">
        <v>307.10000000000002</v>
      </c>
      <c r="J1027" s="19">
        <v>0.60199999999999998</v>
      </c>
      <c r="K1027" s="16">
        <v>74.400000000000006</v>
      </c>
      <c r="L1027" s="19">
        <v>0.97799999999999998</v>
      </c>
      <c r="M1027" s="19">
        <v>3.5999999999999997E-2</v>
      </c>
      <c r="N1027" s="21">
        <v>64316.28</v>
      </c>
      <c r="O1027" s="21">
        <v>47781.83</v>
      </c>
      <c r="P1027" s="26">
        <v>16534.45</v>
      </c>
    </row>
    <row r="1028" spans="1:16" x14ac:dyDescent="0.3">
      <c r="A1028" s="25">
        <v>1027</v>
      </c>
      <c r="B1028" s="16" t="s">
        <v>56</v>
      </c>
      <c r="C1028" s="16">
        <v>2025</v>
      </c>
      <c r="D1028" s="16" t="s">
        <v>39</v>
      </c>
      <c r="E1028" s="16" t="s">
        <v>27</v>
      </c>
      <c r="F1028" s="16" t="s">
        <v>29</v>
      </c>
      <c r="G1028" s="16">
        <v>72</v>
      </c>
      <c r="H1028" s="16">
        <v>9844</v>
      </c>
      <c r="I1028" s="16">
        <v>326.7</v>
      </c>
      <c r="J1028" s="19">
        <v>0.70899999999999996</v>
      </c>
      <c r="K1028" s="16">
        <v>71.3</v>
      </c>
      <c r="L1028" s="19">
        <v>0.84899999999999998</v>
      </c>
      <c r="M1028" s="19">
        <v>2.1000000000000001E-2</v>
      </c>
      <c r="N1028" s="21">
        <v>93564.58</v>
      </c>
      <c r="O1028" s="21">
        <v>68625.86</v>
      </c>
      <c r="P1028" s="26">
        <v>24938.720000000001</v>
      </c>
    </row>
    <row r="1029" spans="1:16" x14ac:dyDescent="0.3">
      <c r="A1029" s="25">
        <v>1028</v>
      </c>
      <c r="B1029" s="16" t="s">
        <v>56</v>
      </c>
      <c r="C1029" s="16">
        <v>2025</v>
      </c>
      <c r="D1029" s="16" t="s">
        <v>39</v>
      </c>
      <c r="E1029" s="16" t="s">
        <v>34</v>
      </c>
      <c r="F1029" s="16" t="s">
        <v>29</v>
      </c>
      <c r="G1029" s="16">
        <v>31</v>
      </c>
      <c r="H1029" s="16">
        <v>6187</v>
      </c>
      <c r="I1029" s="16">
        <v>328.3</v>
      </c>
      <c r="J1029" s="19">
        <v>0.56899999999999995</v>
      </c>
      <c r="K1029" s="16">
        <v>80.400000000000006</v>
      </c>
      <c r="L1029" s="19">
        <v>0.95</v>
      </c>
      <c r="M1029" s="19">
        <v>3.3000000000000002E-2</v>
      </c>
      <c r="N1029" s="21">
        <v>39383.53</v>
      </c>
      <c r="O1029" s="21">
        <v>29512.53</v>
      </c>
      <c r="P1029" s="26">
        <v>9871</v>
      </c>
    </row>
    <row r="1030" spans="1:16" x14ac:dyDescent="0.3">
      <c r="A1030" s="25">
        <v>1029</v>
      </c>
      <c r="B1030" s="16" t="s">
        <v>56</v>
      </c>
      <c r="C1030" s="16">
        <v>2025</v>
      </c>
      <c r="D1030" s="16" t="s">
        <v>39</v>
      </c>
      <c r="E1030" s="16" t="s">
        <v>31</v>
      </c>
      <c r="F1030" s="16" t="s">
        <v>29</v>
      </c>
      <c r="G1030" s="16">
        <v>73</v>
      </c>
      <c r="H1030" s="16">
        <v>12988</v>
      </c>
      <c r="I1030" s="16">
        <v>289.10000000000002</v>
      </c>
      <c r="J1030" s="19">
        <v>0.59199999999999997</v>
      </c>
      <c r="K1030" s="16">
        <v>73.3</v>
      </c>
      <c r="L1030" s="19">
        <v>0.91300000000000003</v>
      </c>
      <c r="M1030" s="19">
        <v>0.02</v>
      </c>
      <c r="N1030" s="21">
        <v>89649.94</v>
      </c>
      <c r="O1030" s="21">
        <v>55715.53</v>
      </c>
      <c r="P1030" s="26">
        <v>33934.410000000003</v>
      </c>
    </row>
    <row r="1031" spans="1:16" x14ac:dyDescent="0.3">
      <c r="A1031" s="25">
        <v>1030</v>
      </c>
      <c r="B1031" s="16" t="s">
        <v>56</v>
      </c>
      <c r="C1031" s="16">
        <v>2025</v>
      </c>
      <c r="D1031" s="16" t="s">
        <v>39</v>
      </c>
      <c r="E1031" s="16" t="s">
        <v>27</v>
      </c>
      <c r="F1031" s="16" t="s">
        <v>33</v>
      </c>
      <c r="G1031" s="16">
        <v>35</v>
      </c>
      <c r="H1031" s="16">
        <v>5637</v>
      </c>
      <c r="I1031" s="16">
        <v>566.79999999999995</v>
      </c>
      <c r="J1031" s="19">
        <v>0.73</v>
      </c>
      <c r="K1031" s="16">
        <v>82.7</v>
      </c>
      <c r="L1031" s="19">
        <v>0.99299999999999999</v>
      </c>
      <c r="M1031" s="19">
        <v>2.9000000000000001E-2</v>
      </c>
      <c r="N1031" s="21">
        <v>40212.44</v>
      </c>
      <c r="O1031" s="21">
        <v>26485.8</v>
      </c>
      <c r="P1031" s="26">
        <v>13726.64</v>
      </c>
    </row>
    <row r="1032" spans="1:16" x14ac:dyDescent="0.3">
      <c r="A1032" s="25">
        <v>1031</v>
      </c>
      <c r="B1032" s="16" t="s">
        <v>56</v>
      </c>
      <c r="C1032" s="16">
        <v>2025</v>
      </c>
      <c r="D1032" s="16" t="s">
        <v>39</v>
      </c>
      <c r="E1032" s="16" t="s">
        <v>30</v>
      </c>
      <c r="F1032" s="16" t="s">
        <v>36</v>
      </c>
      <c r="G1032" s="16">
        <v>56</v>
      </c>
      <c r="H1032" s="16">
        <v>10258</v>
      </c>
      <c r="I1032" s="16">
        <v>894.4</v>
      </c>
      <c r="J1032" s="19">
        <v>0.77600000000000002</v>
      </c>
      <c r="K1032" s="16">
        <v>79</v>
      </c>
      <c r="L1032" s="19">
        <v>0.79200000000000004</v>
      </c>
      <c r="M1032" s="19">
        <v>3.4000000000000002E-2</v>
      </c>
      <c r="N1032" s="21">
        <v>87318.44</v>
      </c>
      <c r="O1032" s="21">
        <v>56389.04</v>
      </c>
      <c r="P1032" s="26">
        <v>30929.4</v>
      </c>
    </row>
    <row r="1033" spans="1:16" x14ac:dyDescent="0.3">
      <c r="A1033" s="25">
        <v>1032</v>
      </c>
      <c r="B1033" s="16" t="s">
        <v>56</v>
      </c>
      <c r="C1033" s="16">
        <v>2025</v>
      </c>
      <c r="D1033" s="16" t="s">
        <v>39</v>
      </c>
      <c r="E1033" s="16" t="s">
        <v>35</v>
      </c>
      <c r="F1033" s="16" t="s">
        <v>36</v>
      </c>
      <c r="G1033" s="16">
        <v>78</v>
      </c>
      <c r="H1033" s="16">
        <v>9811</v>
      </c>
      <c r="I1033" s="16">
        <v>909.9</v>
      </c>
      <c r="J1033" s="19">
        <v>0.70299999999999996</v>
      </c>
      <c r="K1033" s="16">
        <v>80.599999999999994</v>
      </c>
      <c r="L1033" s="19">
        <v>0.90400000000000003</v>
      </c>
      <c r="M1033" s="19">
        <v>2.5000000000000001E-2</v>
      </c>
      <c r="N1033" s="21">
        <v>128023.07</v>
      </c>
      <c r="O1033" s="21">
        <v>87737.11</v>
      </c>
      <c r="P1033" s="26">
        <v>40285.96</v>
      </c>
    </row>
    <row r="1034" spans="1:16" x14ac:dyDescent="0.3">
      <c r="A1034" s="25">
        <v>1033</v>
      </c>
      <c r="B1034" s="16" t="s">
        <v>56</v>
      </c>
      <c r="C1034" s="16">
        <v>2025</v>
      </c>
      <c r="D1034" s="16" t="s">
        <v>39</v>
      </c>
      <c r="E1034" s="16" t="s">
        <v>34</v>
      </c>
      <c r="F1034" s="16" t="s">
        <v>37</v>
      </c>
      <c r="G1034" s="16">
        <v>64</v>
      </c>
      <c r="H1034" s="16">
        <v>13320</v>
      </c>
      <c r="I1034" s="16">
        <v>634.20000000000005</v>
      </c>
      <c r="J1034" s="19">
        <v>0.72799999999999998</v>
      </c>
      <c r="K1034" s="16">
        <v>75.2</v>
      </c>
      <c r="L1034" s="19">
        <v>0.85799999999999998</v>
      </c>
      <c r="M1034" s="19">
        <v>5.1999999999999998E-2</v>
      </c>
      <c r="N1034" s="21">
        <v>107204.51</v>
      </c>
      <c r="O1034" s="21">
        <v>77499.06</v>
      </c>
      <c r="P1034" s="26">
        <v>29705.45</v>
      </c>
    </row>
    <row r="1035" spans="1:16" x14ac:dyDescent="0.3">
      <c r="A1035" s="25">
        <v>1034</v>
      </c>
      <c r="B1035" s="16" t="s">
        <v>56</v>
      </c>
      <c r="C1035" s="16">
        <v>2025</v>
      </c>
      <c r="D1035" s="16" t="s">
        <v>39</v>
      </c>
      <c r="E1035" s="16" t="s">
        <v>31</v>
      </c>
      <c r="F1035" s="16" t="s">
        <v>37</v>
      </c>
      <c r="G1035" s="16">
        <v>38</v>
      </c>
      <c r="H1035" s="16">
        <v>6739</v>
      </c>
      <c r="I1035" s="16">
        <v>573.9</v>
      </c>
      <c r="J1035" s="19">
        <v>0.69299999999999995</v>
      </c>
      <c r="K1035" s="16">
        <v>80.7</v>
      </c>
      <c r="L1035" s="19">
        <v>0.72199999999999998</v>
      </c>
      <c r="M1035" s="19">
        <v>3.1E-2</v>
      </c>
      <c r="N1035" s="21">
        <v>44667.82</v>
      </c>
      <c r="O1035" s="21">
        <v>32372.27</v>
      </c>
      <c r="P1035" s="26">
        <v>12295.55</v>
      </c>
    </row>
    <row r="1036" spans="1:16" x14ac:dyDescent="0.3">
      <c r="A1036" s="25">
        <v>1035</v>
      </c>
      <c r="B1036" s="16" t="s">
        <v>56</v>
      </c>
      <c r="C1036" s="16">
        <v>2025</v>
      </c>
      <c r="D1036" s="16" t="s">
        <v>40</v>
      </c>
      <c r="E1036" s="16" t="s">
        <v>27</v>
      </c>
      <c r="F1036" s="16" t="s">
        <v>28</v>
      </c>
      <c r="G1036" s="16">
        <v>59</v>
      </c>
      <c r="H1036" s="16">
        <v>9298</v>
      </c>
      <c r="I1036" s="16">
        <v>444.4</v>
      </c>
      <c r="J1036" s="19">
        <v>0.80800000000000005</v>
      </c>
      <c r="K1036" s="16">
        <v>84.9</v>
      </c>
      <c r="L1036" s="19">
        <v>1</v>
      </c>
      <c r="M1036" s="19">
        <v>2.3E-2</v>
      </c>
      <c r="N1036" s="21">
        <v>95205.88</v>
      </c>
      <c r="O1036" s="21">
        <v>68117.73</v>
      </c>
      <c r="P1036" s="26">
        <v>27088.15</v>
      </c>
    </row>
    <row r="1037" spans="1:16" x14ac:dyDescent="0.3">
      <c r="A1037" s="25">
        <v>1036</v>
      </c>
      <c r="B1037" s="16" t="s">
        <v>56</v>
      </c>
      <c r="C1037" s="16">
        <v>2025</v>
      </c>
      <c r="D1037" s="16" t="s">
        <v>40</v>
      </c>
      <c r="E1037" s="16" t="s">
        <v>34</v>
      </c>
      <c r="F1037" s="16" t="s">
        <v>28</v>
      </c>
      <c r="G1037" s="16">
        <v>43</v>
      </c>
      <c r="H1037" s="16">
        <v>7243</v>
      </c>
      <c r="I1037" s="16">
        <v>437.9</v>
      </c>
      <c r="J1037" s="19">
        <v>0.85099999999999998</v>
      </c>
      <c r="K1037" s="16">
        <v>83.3</v>
      </c>
      <c r="L1037" s="19">
        <v>0.94099999999999995</v>
      </c>
      <c r="M1037" s="19">
        <v>3.6999999999999998E-2</v>
      </c>
      <c r="N1037" s="21">
        <v>65653.33</v>
      </c>
      <c r="O1037" s="21">
        <v>41085.879999999997</v>
      </c>
      <c r="P1037" s="26">
        <v>24567.45</v>
      </c>
    </row>
    <row r="1038" spans="1:16" x14ac:dyDescent="0.3">
      <c r="A1038" s="25">
        <v>1037</v>
      </c>
      <c r="B1038" s="16" t="s">
        <v>56</v>
      </c>
      <c r="C1038" s="16">
        <v>2025</v>
      </c>
      <c r="D1038" s="16" t="s">
        <v>40</v>
      </c>
      <c r="E1038" s="16" t="s">
        <v>31</v>
      </c>
      <c r="F1038" s="16" t="s">
        <v>28</v>
      </c>
      <c r="G1038" s="16">
        <v>58</v>
      </c>
      <c r="H1038" s="16">
        <v>9915</v>
      </c>
      <c r="I1038" s="16">
        <v>429.5</v>
      </c>
      <c r="J1038" s="19">
        <v>0.71599999999999997</v>
      </c>
      <c r="K1038" s="16">
        <v>82.7</v>
      </c>
      <c r="L1038" s="19">
        <v>0.94599999999999995</v>
      </c>
      <c r="M1038" s="19">
        <v>3.5000000000000003E-2</v>
      </c>
      <c r="N1038" s="21">
        <v>87149.17</v>
      </c>
      <c r="O1038" s="21">
        <v>64302.06</v>
      </c>
      <c r="P1038" s="26">
        <v>22847.11</v>
      </c>
    </row>
    <row r="1039" spans="1:16" x14ac:dyDescent="0.3">
      <c r="A1039" s="25">
        <v>1038</v>
      </c>
      <c r="B1039" s="16" t="s">
        <v>56</v>
      </c>
      <c r="C1039" s="16">
        <v>2025</v>
      </c>
      <c r="D1039" s="16" t="s">
        <v>40</v>
      </c>
      <c r="E1039" s="16" t="s">
        <v>35</v>
      </c>
      <c r="F1039" s="16" t="s">
        <v>28</v>
      </c>
      <c r="G1039" s="16">
        <v>28</v>
      </c>
      <c r="H1039" s="16">
        <v>4931</v>
      </c>
      <c r="I1039" s="16">
        <v>427.3</v>
      </c>
      <c r="J1039" s="19">
        <v>0.71299999999999997</v>
      </c>
      <c r="K1039" s="16">
        <v>74.2</v>
      </c>
      <c r="L1039" s="19">
        <v>0.90300000000000002</v>
      </c>
      <c r="M1039" s="19">
        <v>3.5999999999999997E-2</v>
      </c>
      <c r="N1039" s="21">
        <v>39778.050000000003</v>
      </c>
      <c r="O1039" s="21">
        <v>25830.05</v>
      </c>
      <c r="P1039" s="26">
        <v>13948</v>
      </c>
    </row>
    <row r="1040" spans="1:16" x14ac:dyDescent="0.3">
      <c r="A1040" s="25">
        <v>1039</v>
      </c>
      <c r="B1040" s="16" t="s">
        <v>56</v>
      </c>
      <c r="C1040" s="16">
        <v>2025</v>
      </c>
      <c r="D1040" s="16" t="s">
        <v>40</v>
      </c>
      <c r="E1040" s="16" t="s">
        <v>32</v>
      </c>
      <c r="F1040" s="16" t="s">
        <v>29</v>
      </c>
      <c r="G1040" s="16">
        <v>42</v>
      </c>
      <c r="H1040" s="16">
        <v>9020</v>
      </c>
      <c r="I1040" s="16">
        <v>280.5</v>
      </c>
      <c r="J1040" s="19">
        <v>0.63400000000000001</v>
      </c>
      <c r="K1040" s="16">
        <v>76.7</v>
      </c>
      <c r="L1040" s="19">
        <v>0.96599999999999997</v>
      </c>
      <c r="M1040" s="19">
        <v>1.7999999999999999E-2</v>
      </c>
      <c r="N1040" s="21">
        <v>35437.96</v>
      </c>
      <c r="O1040" s="21">
        <v>27067.19</v>
      </c>
      <c r="P1040" s="26">
        <v>8370.77</v>
      </c>
    </row>
    <row r="1041" spans="1:16" x14ac:dyDescent="0.3">
      <c r="A1041" s="25">
        <v>1040</v>
      </c>
      <c r="B1041" s="16" t="s">
        <v>56</v>
      </c>
      <c r="C1041" s="16">
        <v>2025</v>
      </c>
      <c r="D1041" s="16" t="s">
        <v>40</v>
      </c>
      <c r="E1041" s="16" t="s">
        <v>27</v>
      </c>
      <c r="F1041" s="16" t="s">
        <v>29</v>
      </c>
      <c r="G1041" s="16">
        <v>41</v>
      </c>
      <c r="H1041" s="16">
        <v>7621</v>
      </c>
      <c r="I1041" s="16">
        <v>367.9</v>
      </c>
      <c r="J1041" s="19">
        <v>0.58199999999999996</v>
      </c>
      <c r="K1041" s="16">
        <v>73.5</v>
      </c>
      <c r="L1041" s="19">
        <v>0.94199999999999995</v>
      </c>
      <c r="M1041" s="19">
        <v>1.6E-2</v>
      </c>
      <c r="N1041" s="21">
        <v>50161.2</v>
      </c>
      <c r="O1041" s="21">
        <v>31380.7</v>
      </c>
      <c r="P1041" s="26">
        <v>18780.5</v>
      </c>
    </row>
    <row r="1042" spans="1:16" x14ac:dyDescent="0.3">
      <c r="A1042" s="25">
        <v>1041</v>
      </c>
      <c r="B1042" s="16" t="s">
        <v>56</v>
      </c>
      <c r="C1042" s="16">
        <v>2025</v>
      </c>
      <c r="D1042" s="16" t="s">
        <v>40</v>
      </c>
      <c r="E1042" s="16" t="s">
        <v>30</v>
      </c>
      <c r="F1042" s="16" t="s">
        <v>29</v>
      </c>
      <c r="G1042" s="16">
        <v>25</v>
      </c>
      <c r="H1042" s="16">
        <v>4575</v>
      </c>
      <c r="I1042" s="16">
        <v>362.1</v>
      </c>
      <c r="J1042" s="19">
        <v>0.66600000000000004</v>
      </c>
      <c r="K1042" s="16">
        <v>80.8</v>
      </c>
      <c r="L1042" s="19">
        <v>0.92500000000000004</v>
      </c>
      <c r="M1042" s="19">
        <v>2.7E-2</v>
      </c>
      <c r="N1042" s="21">
        <v>27245.21</v>
      </c>
      <c r="O1042" s="21">
        <v>18340.05</v>
      </c>
      <c r="P1042" s="26">
        <v>8905.16</v>
      </c>
    </row>
    <row r="1043" spans="1:16" x14ac:dyDescent="0.3">
      <c r="A1043" s="25">
        <v>1042</v>
      </c>
      <c r="B1043" s="16" t="s">
        <v>56</v>
      </c>
      <c r="C1043" s="16">
        <v>2025</v>
      </c>
      <c r="D1043" s="16" t="s">
        <v>40</v>
      </c>
      <c r="E1043" s="16" t="s">
        <v>32</v>
      </c>
      <c r="F1043" s="16" t="s">
        <v>33</v>
      </c>
      <c r="G1043" s="16">
        <v>35</v>
      </c>
      <c r="H1043" s="16">
        <v>5548</v>
      </c>
      <c r="I1043" s="16">
        <v>475.4</v>
      </c>
      <c r="J1043" s="19">
        <v>0.76600000000000001</v>
      </c>
      <c r="K1043" s="16">
        <v>85.8</v>
      </c>
      <c r="L1043" s="19">
        <v>0.87</v>
      </c>
      <c r="M1043" s="19">
        <v>1.7999999999999999E-2</v>
      </c>
      <c r="N1043" s="21">
        <v>43027.040000000001</v>
      </c>
      <c r="O1043" s="21">
        <v>32611.18</v>
      </c>
      <c r="P1043" s="26">
        <v>10415.86</v>
      </c>
    </row>
    <row r="1044" spans="1:16" x14ac:dyDescent="0.3">
      <c r="A1044" s="25">
        <v>1043</v>
      </c>
      <c r="B1044" s="16" t="s">
        <v>56</v>
      </c>
      <c r="C1044" s="16">
        <v>2025</v>
      </c>
      <c r="D1044" s="16" t="s">
        <v>40</v>
      </c>
      <c r="E1044" s="16" t="s">
        <v>30</v>
      </c>
      <c r="F1044" s="16" t="s">
        <v>33</v>
      </c>
      <c r="G1044" s="16">
        <v>7</v>
      </c>
      <c r="H1044" s="16">
        <v>1257</v>
      </c>
      <c r="I1044" s="16">
        <v>473</v>
      </c>
      <c r="J1044" s="19">
        <v>0.746</v>
      </c>
      <c r="K1044" s="16">
        <v>86.3</v>
      </c>
      <c r="L1044" s="19">
        <v>0.98799999999999999</v>
      </c>
      <c r="M1044" s="19">
        <v>1.7999999999999999E-2</v>
      </c>
      <c r="N1044" s="21">
        <v>9898.7999999999993</v>
      </c>
      <c r="O1044" s="21">
        <v>7588.45</v>
      </c>
      <c r="P1044" s="26">
        <v>2310.35</v>
      </c>
    </row>
    <row r="1045" spans="1:16" x14ac:dyDescent="0.3">
      <c r="A1045" s="25">
        <v>1044</v>
      </c>
      <c r="B1045" s="16" t="s">
        <v>56</v>
      </c>
      <c r="C1045" s="16">
        <v>2025</v>
      </c>
      <c r="D1045" s="16" t="s">
        <v>40</v>
      </c>
      <c r="E1045" s="16" t="s">
        <v>31</v>
      </c>
      <c r="F1045" s="16" t="s">
        <v>33</v>
      </c>
      <c r="G1045" s="16">
        <v>55</v>
      </c>
      <c r="H1045" s="16">
        <v>9943</v>
      </c>
      <c r="I1045" s="16">
        <v>513.1</v>
      </c>
      <c r="J1045" s="19">
        <v>0.69499999999999995</v>
      </c>
      <c r="K1045" s="16">
        <v>80.8</v>
      </c>
      <c r="L1045" s="19">
        <v>0.86599999999999999</v>
      </c>
      <c r="M1045" s="19">
        <v>1.7999999999999999E-2</v>
      </c>
      <c r="N1045" s="21">
        <v>82969.08</v>
      </c>
      <c r="O1045" s="21">
        <v>56096.42</v>
      </c>
      <c r="P1045" s="26">
        <v>26872.66</v>
      </c>
    </row>
    <row r="1046" spans="1:16" x14ac:dyDescent="0.3">
      <c r="A1046" s="25">
        <v>1045</v>
      </c>
      <c r="B1046" s="16" t="s">
        <v>56</v>
      </c>
      <c r="C1046" s="16">
        <v>2025</v>
      </c>
      <c r="D1046" s="16" t="s">
        <v>40</v>
      </c>
      <c r="E1046" s="16" t="s">
        <v>32</v>
      </c>
      <c r="F1046" s="16" t="s">
        <v>36</v>
      </c>
      <c r="G1046" s="16">
        <v>71</v>
      </c>
      <c r="H1046" s="16">
        <v>10809</v>
      </c>
      <c r="I1046" s="16">
        <v>892.9</v>
      </c>
      <c r="J1046" s="19">
        <v>0.64700000000000002</v>
      </c>
      <c r="K1046" s="16">
        <v>84.2</v>
      </c>
      <c r="L1046" s="19">
        <v>0.92700000000000005</v>
      </c>
      <c r="M1046" s="19">
        <v>2.5000000000000001E-2</v>
      </c>
      <c r="N1046" s="21">
        <v>72631.740000000005</v>
      </c>
      <c r="O1046" s="21">
        <v>53960.91</v>
      </c>
      <c r="P1046" s="26">
        <v>18670.830000000002</v>
      </c>
    </row>
    <row r="1047" spans="1:16" x14ac:dyDescent="0.3">
      <c r="A1047" s="25">
        <v>1046</v>
      </c>
      <c r="B1047" s="16" t="s">
        <v>56</v>
      </c>
      <c r="C1047" s="16">
        <v>2025</v>
      </c>
      <c r="D1047" s="16" t="s">
        <v>40</v>
      </c>
      <c r="E1047" s="16" t="s">
        <v>27</v>
      </c>
      <c r="F1047" s="16" t="s">
        <v>37</v>
      </c>
      <c r="G1047" s="16">
        <v>39</v>
      </c>
      <c r="H1047" s="16">
        <v>6850</v>
      </c>
      <c r="I1047" s="16">
        <v>722.3</v>
      </c>
      <c r="J1047" s="19">
        <v>0.61699999999999999</v>
      </c>
      <c r="K1047" s="16">
        <v>74</v>
      </c>
      <c r="L1047" s="19">
        <v>0.89800000000000002</v>
      </c>
      <c r="M1047" s="19">
        <v>0.03</v>
      </c>
      <c r="N1047" s="21">
        <v>56836.76</v>
      </c>
      <c r="O1047" s="21">
        <v>42718.84</v>
      </c>
      <c r="P1047" s="26">
        <v>14117.92</v>
      </c>
    </row>
    <row r="1048" spans="1:16" x14ac:dyDescent="0.3">
      <c r="A1048" s="25">
        <v>1047</v>
      </c>
      <c r="B1048" s="16" t="s">
        <v>56</v>
      </c>
      <c r="C1048" s="16">
        <v>2025</v>
      </c>
      <c r="D1048" s="16" t="s">
        <v>40</v>
      </c>
      <c r="E1048" s="16" t="s">
        <v>34</v>
      </c>
      <c r="F1048" s="16" t="s">
        <v>37</v>
      </c>
      <c r="G1048" s="16">
        <v>5</v>
      </c>
      <c r="H1048" s="16">
        <v>1085</v>
      </c>
      <c r="I1048" s="16">
        <v>679.6</v>
      </c>
      <c r="J1048" s="19">
        <v>0.7</v>
      </c>
      <c r="K1048" s="16">
        <v>80.7</v>
      </c>
      <c r="L1048" s="19">
        <v>0.86399999999999999</v>
      </c>
      <c r="M1048" s="19">
        <v>2.7E-2</v>
      </c>
      <c r="N1048" s="21">
        <v>7391.86</v>
      </c>
      <c r="O1048" s="21">
        <v>5228.2</v>
      </c>
      <c r="P1048" s="26">
        <v>2163.66</v>
      </c>
    </row>
    <row r="1049" spans="1:16" x14ac:dyDescent="0.3">
      <c r="A1049" s="25">
        <v>1048</v>
      </c>
      <c r="B1049" s="16" t="s">
        <v>56</v>
      </c>
      <c r="C1049" s="16">
        <v>2025</v>
      </c>
      <c r="D1049" s="16" t="s">
        <v>41</v>
      </c>
      <c r="E1049" s="16" t="s">
        <v>32</v>
      </c>
      <c r="F1049" s="16" t="s">
        <v>28</v>
      </c>
      <c r="G1049" s="16">
        <v>55</v>
      </c>
      <c r="H1049" s="16">
        <v>8711</v>
      </c>
      <c r="I1049" s="16">
        <v>381.4</v>
      </c>
      <c r="J1049" s="19">
        <v>0.79400000000000004</v>
      </c>
      <c r="K1049" s="16">
        <v>89.4</v>
      </c>
      <c r="L1049" s="19">
        <v>0.93100000000000005</v>
      </c>
      <c r="M1049" s="19">
        <v>1E-3</v>
      </c>
      <c r="N1049" s="21">
        <v>98073.13</v>
      </c>
      <c r="O1049" s="21">
        <v>76060.13</v>
      </c>
      <c r="P1049" s="26">
        <v>22013</v>
      </c>
    </row>
    <row r="1050" spans="1:16" x14ac:dyDescent="0.3">
      <c r="A1050" s="25">
        <v>1049</v>
      </c>
      <c r="B1050" s="16" t="s">
        <v>56</v>
      </c>
      <c r="C1050" s="16">
        <v>2025</v>
      </c>
      <c r="D1050" s="16" t="s">
        <v>41</v>
      </c>
      <c r="E1050" s="16" t="s">
        <v>31</v>
      </c>
      <c r="F1050" s="16" t="s">
        <v>28</v>
      </c>
      <c r="G1050" s="16">
        <v>59</v>
      </c>
      <c r="H1050" s="16">
        <v>10736</v>
      </c>
      <c r="I1050" s="16">
        <v>365.8</v>
      </c>
      <c r="J1050" s="19">
        <v>0.66900000000000004</v>
      </c>
      <c r="K1050" s="16">
        <v>88.4</v>
      </c>
      <c r="L1050" s="19">
        <v>0.91900000000000004</v>
      </c>
      <c r="M1050" s="19">
        <v>3.6999999999999998E-2</v>
      </c>
      <c r="N1050" s="21">
        <v>109218.74</v>
      </c>
      <c r="O1050" s="21">
        <v>80561.77</v>
      </c>
      <c r="P1050" s="26">
        <v>28656.97</v>
      </c>
    </row>
    <row r="1051" spans="1:16" x14ac:dyDescent="0.3">
      <c r="A1051" s="25">
        <v>1050</v>
      </c>
      <c r="B1051" s="16" t="s">
        <v>56</v>
      </c>
      <c r="C1051" s="16">
        <v>2025</v>
      </c>
      <c r="D1051" s="16" t="s">
        <v>41</v>
      </c>
      <c r="E1051" s="16" t="s">
        <v>27</v>
      </c>
      <c r="F1051" s="16" t="s">
        <v>29</v>
      </c>
      <c r="G1051" s="16">
        <v>58</v>
      </c>
      <c r="H1051" s="16">
        <v>8170</v>
      </c>
      <c r="I1051" s="16">
        <v>329</v>
      </c>
      <c r="J1051" s="19">
        <v>0.61599999999999999</v>
      </c>
      <c r="K1051" s="16">
        <v>76.900000000000006</v>
      </c>
      <c r="L1051" s="19">
        <v>0.79400000000000004</v>
      </c>
      <c r="M1051" s="19">
        <v>2.4E-2</v>
      </c>
      <c r="N1051" s="21">
        <v>97834.43</v>
      </c>
      <c r="O1051" s="21">
        <v>65720.75</v>
      </c>
      <c r="P1051" s="26">
        <v>32113.68</v>
      </c>
    </row>
    <row r="1052" spans="1:16" x14ac:dyDescent="0.3">
      <c r="A1052" s="25">
        <v>1051</v>
      </c>
      <c r="B1052" s="16" t="s">
        <v>56</v>
      </c>
      <c r="C1052" s="16">
        <v>2025</v>
      </c>
      <c r="D1052" s="16" t="s">
        <v>41</v>
      </c>
      <c r="E1052" s="16" t="s">
        <v>31</v>
      </c>
      <c r="F1052" s="16" t="s">
        <v>29</v>
      </c>
      <c r="G1052" s="16">
        <v>50</v>
      </c>
      <c r="H1052" s="16">
        <v>8844</v>
      </c>
      <c r="I1052" s="16">
        <v>358.3</v>
      </c>
      <c r="J1052" s="19">
        <v>0.57299999999999995</v>
      </c>
      <c r="K1052" s="16">
        <v>89.9</v>
      </c>
      <c r="L1052" s="19">
        <v>0.95499999999999996</v>
      </c>
      <c r="M1052" s="19">
        <v>8.9999999999999993E-3</v>
      </c>
      <c r="N1052" s="21">
        <v>88402.51</v>
      </c>
      <c r="O1052" s="21">
        <v>56421.48</v>
      </c>
      <c r="P1052" s="26">
        <v>31981.03</v>
      </c>
    </row>
    <row r="1053" spans="1:16" x14ac:dyDescent="0.3">
      <c r="A1053" s="25">
        <v>1052</v>
      </c>
      <c r="B1053" s="16" t="s">
        <v>56</v>
      </c>
      <c r="C1053" s="16">
        <v>2025</v>
      </c>
      <c r="D1053" s="16" t="s">
        <v>41</v>
      </c>
      <c r="E1053" s="16" t="s">
        <v>35</v>
      </c>
      <c r="F1053" s="16" t="s">
        <v>29</v>
      </c>
      <c r="G1053" s="16">
        <v>24</v>
      </c>
      <c r="H1053" s="16">
        <v>3280</v>
      </c>
      <c r="I1053" s="16">
        <v>374.1</v>
      </c>
      <c r="J1053" s="19">
        <v>0.63200000000000001</v>
      </c>
      <c r="K1053" s="16">
        <v>77.5</v>
      </c>
      <c r="L1053" s="19">
        <v>0.91</v>
      </c>
      <c r="M1053" s="19">
        <v>8.9999999999999993E-3</v>
      </c>
      <c r="N1053" s="21">
        <v>37255.53</v>
      </c>
      <c r="O1053" s="21">
        <v>26483.17</v>
      </c>
      <c r="P1053" s="26">
        <v>10772.36</v>
      </c>
    </row>
    <row r="1054" spans="1:16" x14ac:dyDescent="0.3">
      <c r="A1054" s="25">
        <v>1053</v>
      </c>
      <c r="B1054" s="16" t="s">
        <v>56</v>
      </c>
      <c r="C1054" s="16">
        <v>2025</v>
      </c>
      <c r="D1054" s="16" t="s">
        <v>41</v>
      </c>
      <c r="E1054" s="16" t="s">
        <v>27</v>
      </c>
      <c r="F1054" s="16" t="s">
        <v>33</v>
      </c>
      <c r="G1054" s="16">
        <v>17</v>
      </c>
      <c r="H1054" s="16">
        <v>3979</v>
      </c>
      <c r="I1054" s="16">
        <v>570.79999999999995</v>
      </c>
      <c r="J1054" s="19">
        <v>0.751</v>
      </c>
      <c r="K1054" s="16">
        <v>81.599999999999994</v>
      </c>
      <c r="L1054" s="19">
        <v>0.89400000000000002</v>
      </c>
      <c r="M1054" s="19">
        <v>0.03</v>
      </c>
      <c r="N1054" s="21">
        <v>30970.5</v>
      </c>
      <c r="O1054" s="21">
        <v>22370.07</v>
      </c>
      <c r="P1054" s="26">
        <v>8600.43</v>
      </c>
    </row>
    <row r="1055" spans="1:16" x14ac:dyDescent="0.3">
      <c r="A1055" s="25">
        <v>1054</v>
      </c>
      <c r="B1055" s="16" t="s">
        <v>56</v>
      </c>
      <c r="C1055" s="16">
        <v>2025</v>
      </c>
      <c r="D1055" s="16" t="s">
        <v>41</v>
      </c>
      <c r="E1055" s="16" t="s">
        <v>30</v>
      </c>
      <c r="F1055" s="16" t="s">
        <v>33</v>
      </c>
      <c r="G1055" s="16">
        <v>29</v>
      </c>
      <c r="H1055" s="16">
        <v>5029</v>
      </c>
      <c r="I1055" s="16">
        <v>506.4</v>
      </c>
      <c r="J1055" s="19">
        <v>0.77100000000000002</v>
      </c>
      <c r="K1055" s="16">
        <v>89.3</v>
      </c>
      <c r="L1055" s="19">
        <v>0.878</v>
      </c>
      <c r="M1055" s="19">
        <v>2.9000000000000001E-2</v>
      </c>
      <c r="N1055" s="21">
        <v>55975.55</v>
      </c>
      <c r="O1055" s="21">
        <v>39150.32</v>
      </c>
      <c r="P1055" s="26">
        <v>16825.23</v>
      </c>
    </row>
    <row r="1056" spans="1:16" x14ac:dyDescent="0.3">
      <c r="A1056" s="25">
        <v>1055</v>
      </c>
      <c r="B1056" s="16" t="s">
        <v>56</v>
      </c>
      <c r="C1056" s="16">
        <v>2025</v>
      </c>
      <c r="D1056" s="16" t="s">
        <v>41</v>
      </c>
      <c r="E1056" s="16" t="s">
        <v>35</v>
      </c>
      <c r="F1056" s="16" t="s">
        <v>33</v>
      </c>
      <c r="G1056" s="16">
        <v>41</v>
      </c>
      <c r="H1056" s="16">
        <v>6447</v>
      </c>
      <c r="I1056" s="16">
        <v>520.1</v>
      </c>
      <c r="J1056" s="19">
        <v>0.77300000000000002</v>
      </c>
      <c r="K1056" s="16">
        <v>92.1</v>
      </c>
      <c r="L1056" s="19">
        <v>0.89</v>
      </c>
      <c r="M1056" s="19">
        <v>3.0000000000000001E-3</v>
      </c>
      <c r="N1056" s="21">
        <v>74463.78</v>
      </c>
      <c r="O1056" s="21">
        <v>47290.13</v>
      </c>
      <c r="P1056" s="26">
        <v>27173.65</v>
      </c>
    </row>
    <row r="1057" spans="1:16" x14ac:dyDescent="0.3">
      <c r="A1057" s="25">
        <v>1056</v>
      </c>
      <c r="B1057" s="16" t="s">
        <v>56</v>
      </c>
      <c r="C1057" s="16">
        <v>2025</v>
      </c>
      <c r="D1057" s="16" t="s">
        <v>41</v>
      </c>
      <c r="E1057" s="16" t="s">
        <v>27</v>
      </c>
      <c r="F1057" s="16" t="s">
        <v>36</v>
      </c>
      <c r="G1057" s="16">
        <v>62</v>
      </c>
      <c r="H1057" s="16">
        <v>8473</v>
      </c>
      <c r="I1057" s="16">
        <v>842.8</v>
      </c>
      <c r="J1057" s="19">
        <v>0.56100000000000005</v>
      </c>
      <c r="K1057" s="16">
        <v>81.2</v>
      </c>
      <c r="L1057" s="19">
        <v>0.89900000000000002</v>
      </c>
      <c r="M1057" s="19">
        <v>3.9E-2</v>
      </c>
      <c r="N1057" s="21">
        <v>84702.17</v>
      </c>
      <c r="O1057" s="21">
        <v>63538.06</v>
      </c>
      <c r="P1057" s="26">
        <v>21164.11</v>
      </c>
    </row>
    <row r="1058" spans="1:16" x14ac:dyDescent="0.3">
      <c r="A1058" s="25">
        <v>1057</v>
      </c>
      <c r="B1058" s="16" t="s">
        <v>56</v>
      </c>
      <c r="C1058" s="16">
        <v>2025</v>
      </c>
      <c r="D1058" s="16" t="s">
        <v>41</v>
      </c>
      <c r="E1058" s="16" t="s">
        <v>35</v>
      </c>
      <c r="F1058" s="16" t="s">
        <v>36</v>
      </c>
      <c r="G1058" s="16">
        <v>57</v>
      </c>
      <c r="H1058" s="16">
        <v>12465</v>
      </c>
      <c r="I1058" s="16">
        <v>939.8</v>
      </c>
      <c r="J1058" s="19">
        <v>0.69499999999999995</v>
      </c>
      <c r="K1058" s="16">
        <v>90.4</v>
      </c>
      <c r="L1058" s="19">
        <v>0.93</v>
      </c>
      <c r="M1058" s="19">
        <v>2.5999999999999999E-2</v>
      </c>
      <c r="N1058" s="21">
        <v>114966.88</v>
      </c>
      <c r="O1058" s="21">
        <v>79704.509999999995</v>
      </c>
      <c r="P1058" s="26">
        <v>35262.370000000003</v>
      </c>
    </row>
    <row r="1059" spans="1:16" x14ac:dyDescent="0.3">
      <c r="A1059" s="25">
        <v>1058</v>
      </c>
      <c r="B1059" s="16" t="s">
        <v>56</v>
      </c>
      <c r="C1059" s="16">
        <v>2025</v>
      </c>
      <c r="D1059" s="16" t="s">
        <v>41</v>
      </c>
      <c r="E1059" s="16" t="s">
        <v>32</v>
      </c>
      <c r="F1059" s="16" t="s">
        <v>37</v>
      </c>
      <c r="G1059" s="16">
        <v>60</v>
      </c>
      <c r="H1059" s="16">
        <v>10327</v>
      </c>
      <c r="I1059" s="16">
        <v>623.1</v>
      </c>
      <c r="J1059" s="19">
        <v>0.66400000000000003</v>
      </c>
      <c r="K1059" s="16">
        <v>83.6</v>
      </c>
      <c r="L1059" s="19">
        <v>0.95199999999999996</v>
      </c>
      <c r="M1059" s="19">
        <v>3.0000000000000001E-3</v>
      </c>
      <c r="N1059" s="21">
        <v>63372.34</v>
      </c>
      <c r="O1059" s="21">
        <v>44581.84</v>
      </c>
      <c r="P1059" s="26">
        <v>18790.5</v>
      </c>
    </row>
    <row r="1060" spans="1:16" x14ac:dyDescent="0.3">
      <c r="A1060" s="25">
        <v>1059</v>
      </c>
      <c r="B1060" s="16" t="s">
        <v>57</v>
      </c>
      <c r="C1060" s="16">
        <v>2025</v>
      </c>
      <c r="D1060" s="16" t="s">
        <v>26</v>
      </c>
      <c r="E1060" s="16" t="s">
        <v>27</v>
      </c>
      <c r="F1060" s="16" t="s">
        <v>28</v>
      </c>
      <c r="G1060" s="16">
        <v>52</v>
      </c>
      <c r="H1060" s="16">
        <v>8783</v>
      </c>
      <c r="I1060" s="16">
        <v>416.2</v>
      </c>
      <c r="J1060" s="19">
        <v>0.79100000000000004</v>
      </c>
      <c r="K1060" s="16">
        <v>75.400000000000006</v>
      </c>
      <c r="L1060" s="19">
        <v>0.91</v>
      </c>
      <c r="M1060" s="19">
        <v>2.8000000000000001E-2</v>
      </c>
      <c r="N1060" s="21">
        <v>69844.66</v>
      </c>
      <c r="O1060" s="21">
        <v>52816.97</v>
      </c>
      <c r="P1060" s="26">
        <v>17027.689999999999</v>
      </c>
    </row>
    <row r="1061" spans="1:16" x14ac:dyDescent="0.3">
      <c r="A1061" s="25">
        <v>1060</v>
      </c>
      <c r="B1061" s="16" t="s">
        <v>57</v>
      </c>
      <c r="C1061" s="16">
        <v>2025</v>
      </c>
      <c r="D1061" s="16" t="s">
        <v>26</v>
      </c>
      <c r="E1061" s="16" t="s">
        <v>34</v>
      </c>
      <c r="F1061" s="16" t="s">
        <v>28</v>
      </c>
      <c r="G1061" s="16">
        <v>42</v>
      </c>
      <c r="H1061" s="16">
        <v>8608</v>
      </c>
      <c r="I1061" s="16">
        <v>417.4</v>
      </c>
      <c r="J1061" s="19">
        <v>0.85</v>
      </c>
      <c r="K1061" s="16">
        <v>84.1</v>
      </c>
      <c r="L1061" s="19">
        <v>0.88500000000000001</v>
      </c>
      <c r="M1061" s="19">
        <v>3.2000000000000001E-2</v>
      </c>
      <c r="N1061" s="21">
        <v>62433.02</v>
      </c>
      <c r="O1061" s="21">
        <v>48196.29</v>
      </c>
      <c r="P1061" s="26">
        <v>14236.73</v>
      </c>
    </row>
    <row r="1062" spans="1:16" x14ac:dyDescent="0.3">
      <c r="A1062" s="25">
        <v>1061</v>
      </c>
      <c r="B1062" s="16" t="s">
        <v>57</v>
      </c>
      <c r="C1062" s="16">
        <v>2025</v>
      </c>
      <c r="D1062" s="16" t="s">
        <v>26</v>
      </c>
      <c r="E1062" s="16" t="s">
        <v>27</v>
      </c>
      <c r="F1062" s="16" t="s">
        <v>29</v>
      </c>
      <c r="G1062" s="16">
        <v>70</v>
      </c>
      <c r="H1062" s="16">
        <v>11884</v>
      </c>
      <c r="I1062" s="16">
        <v>265.60000000000002</v>
      </c>
      <c r="J1062" s="19">
        <v>0.69099999999999995</v>
      </c>
      <c r="K1062" s="16">
        <v>77.5</v>
      </c>
      <c r="L1062" s="19">
        <v>0.73599999999999999</v>
      </c>
      <c r="M1062" s="19">
        <v>3.4000000000000002E-2</v>
      </c>
      <c r="N1062" s="21">
        <v>83977.14</v>
      </c>
      <c r="O1062" s="21">
        <v>54374.65</v>
      </c>
      <c r="P1062" s="26">
        <v>29602.49</v>
      </c>
    </row>
    <row r="1063" spans="1:16" x14ac:dyDescent="0.3">
      <c r="A1063" s="25">
        <v>1062</v>
      </c>
      <c r="B1063" s="16" t="s">
        <v>57</v>
      </c>
      <c r="C1063" s="16">
        <v>2025</v>
      </c>
      <c r="D1063" s="16" t="s">
        <v>26</v>
      </c>
      <c r="E1063" s="16" t="s">
        <v>27</v>
      </c>
      <c r="F1063" s="16" t="s">
        <v>33</v>
      </c>
      <c r="G1063" s="16">
        <v>64</v>
      </c>
      <c r="H1063" s="16">
        <v>11233</v>
      </c>
      <c r="I1063" s="16">
        <v>536.6</v>
      </c>
      <c r="J1063" s="19">
        <v>0.80100000000000005</v>
      </c>
      <c r="K1063" s="16">
        <v>81</v>
      </c>
      <c r="L1063" s="19">
        <v>0.873</v>
      </c>
      <c r="M1063" s="19">
        <v>4.8000000000000001E-2</v>
      </c>
      <c r="N1063" s="21">
        <v>87607.35</v>
      </c>
      <c r="O1063" s="21">
        <v>66369.25</v>
      </c>
      <c r="P1063" s="26">
        <v>21238.1</v>
      </c>
    </row>
    <row r="1064" spans="1:16" x14ac:dyDescent="0.3">
      <c r="A1064" s="25">
        <v>1063</v>
      </c>
      <c r="B1064" s="16" t="s">
        <v>57</v>
      </c>
      <c r="C1064" s="16">
        <v>2025</v>
      </c>
      <c r="D1064" s="16" t="s">
        <v>26</v>
      </c>
      <c r="E1064" s="16" t="s">
        <v>30</v>
      </c>
      <c r="F1064" s="16" t="s">
        <v>33</v>
      </c>
      <c r="G1064" s="16">
        <v>62</v>
      </c>
      <c r="H1064" s="16">
        <v>9655</v>
      </c>
      <c r="I1064" s="16">
        <v>508.5</v>
      </c>
      <c r="J1064" s="19">
        <v>0.77500000000000002</v>
      </c>
      <c r="K1064" s="16">
        <v>84</v>
      </c>
      <c r="L1064" s="19">
        <v>0.85199999999999998</v>
      </c>
      <c r="M1064" s="19">
        <v>2.5999999999999999E-2</v>
      </c>
      <c r="N1064" s="21">
        <v>85918.55</v>
      </c>
      <c r="O1064" s="21">
        <v>62202.15</v>
      </c>
      <c r="P1064" s="26">
        <v>23716.400000000001</v>
      </c>
    </row>
    <row r="1065" spans="1:16" x14ac:dyDescent="0.3">
      <c r="A1065" s="25">
        <v>1064</v>
      </c>
      <c r="B1065" s="16" t="s">
        <v>57</v>
      </c>
      <c r="C1065" s="16">
        <v>2025</v>
      </c>
      <c r="D1065" s="16" t="s">
        <v>26</v>
      </c>
      <c r="E1065" s="16" t="s">
        <v>32</v>
      </c>
      <c r="F1065" s="16" t="s">
        <v>36</v>
      </c>
      <c r="G1065" s="16">
        <v>44</v>
      </c>
      <c r="H1065" s="16">
        <v>7239</v>
      </c>
      <c r="I1065" s="16">
        <v>874.2</v>
      </c>
      <c r="J1065" s="19">
        <v>0.65600000000000003</v>
      </c>
      <c r="K1065" s="16">
        <v>80.400000000000006</v>
      </c>
      <c r="L1065" s="19">
        <v>0.85299999999999998</v>
      </c>
      <c r="M1065" s="19">
        <v>1.4E-2</v>
      </c>
      <c r="N1065" s="21">
        <v>64440.09</v>
      </c>
      <c r="O1065" s="21">
        <v>47953.47</v>
      </c>
      <c r="P1065" s="26">
        <v>16486.62</v>
      </c>
    </row>
    <row r="1066" spans="1:16" x14ac:dyDescent="0.3">
      <c r="A1066" s="25">
        <v>1065</v>
      </c>
      <c r="B1066" s="16" t="s">
        <v>57</v>
      </c>
      <c r="C1066" s="16">
        <v>2025</v>
      </c>
      <c r="D1066" s="16" t="s">
        <v>26</v>
      </c>
      <c r="E1066" s="16" t="s">
        <v>27</v>
      </c>
      <c r="F1066" s="16" t="s">
        <v>36</v>
      </c>
      <c r="G1066" s="16">
        <v>68</v>
      </c>
      <c r="H1066" s="16">
        <v>14377</v>
      </c>
      <c r="I1066" s="16">
        <v>829.1</v>
      </c>
      <c r="J1066" s="19">
        <v>0.626</v>
      </c>
      <c r="K1066" s="16">
        <v>79</v>
      </c>
      <c r="L1066" s="19">
        <v>0.88200000000000001</v>
      </c>
      <c r="M1066" s="19">
        <v>2.3E-2</v>
      </c>
      <c r="N1066" s="21">
        <v>71563.3</v>
      </c>
      <c r="O1066" s="21">
        <v>47880.639999999999</v>
      </c>
      <c r="P1066" s="26">
        <v>23682.66</v>
      </c>
    </row>
    <row r="1067" spans="1:16" x14ac:dyDescent="0.3">
      <c r="A1067" s="25">
        <v>1066</v>
      </c>
      <c r="B1067" s="16" t="s">
        <v>57</v>
      </c>
      <c r="C1067" s="16">
        <v>2025</v>
      </c>
      <c r="D1067" s="16" t="s">
        <v>26</v>
      </c>
      <c r="E1067" s="16" t="s">
        <v>30</v>
      </c>
      <c r="F1067" s="16" t="s">
        <v>36</v>
      </c>
      <c r="G1067" s="16">
        <v>53</v>
      </c>
      <c r="H1067" s="16">
        <v>9156</v>
      </c>
      <c r="I1067" s="16">
        <v>871.1</v>
      </c>
      <c r="J1067" s="19">
        <v>0.56899999999999995</v>
      </c>
      <c r="K1067" s="16">
        <v>78</v>
      </c>
      <c r="L1067" s="19">
        <v>0.88500000000000001</v>
      </c>
      <c r="M1067" s="19">
        <v>2.3E-2</v>
      </c>
      <c r="N1067" s="21">
        <v>47169.51</v>
      </c>
      <c r="O1067" s="21">
        <v>30651.38</v>
      </c>
      <c r="P1067" s="26">
        <v>16518.13</v>
      </c>
    </row>
    <row r="1068" spans="1:16" x14ac:dyDescent="0.3">
      <c r="A1068" s="25">
        <v>1067</v>
      </c>
      <c r="B1068" s="16" t="s">
        <v>57</v>
      </c>
      <c r="C1068" s="16">
        <v>2025</v>
      </c>
      <c r="D1068" s="16" t="s">
        <v>26</v>
      </c>
      <c r="E1068" s="16" t="s">
        <v>31</v>
      </c>
      <c r="F1068" s="16" t="s">
        <v>37</v>
      </c>
      <c r="G1068" s="16">
        <v>62</v>
      </c>
      <c r="H1068" s="16">
        <v>10183</v>
      </c>
      <c r="I1068" s="16">
        <v>684.8</v>
      </c>
      <c r="J1068" s="19">
        <v>0.747</v>
      </c>
      <c r="K1068" s="16">
        <v>81.400000000000006</v>
      </c>
      <c r="L1068" s="19">
        <v>0.92500000000000004</v>
      </c>
      <c r="M1068" s="19">
        <v>2.8000000000000001E-2</v>
      </c>
      <c r="N1068" s="21">
        <v>81895.509999999995</v>
      </c>
      <c r="O1068" s="21">
        <v>60033.07</v>
      </c>
      <c r="P1068" s="26">
        <v>21862.44</v>
      </c>
    </row>
    <row r="1069" spans="1:16" x14ac:dyDescent="0.3">
      <c r="A1069" s="25">
        <v>1068</v>
      </c>
      <c r="B1069" s="16" t="s">
        <v>57</v>
      </c>
      <c r="C1069" s="16">
        <v>2025</v>
      </c>
      <c r="D1069" s="16" t="s">
        <v>26</v>
      </c>
      <c r="E1069" s="16" t="s">
        <v>35</v>
      </c>
      <c r="F1069" s="16" t="s">
        <v>37</v>
      </c>
      <c r="G1069" s="16">
        <v>62</v>
      </c>
      <c r="H1069" s="16">
        <v>10722</v>
      </c>
      <c r="I1069" s="16">
        <v>673.6</v>
      </c>
      <c r="J1069" s="19">
        <v>0.69899999999999995</v>
      </c>
      <c r="K1069" s="16">
        <v>74</v>
      </c>
      <c r="L1069" s="19">
        <v>0.8</v>
      </c>
      <c r="M1069" s="19">
        <v>3.9E-2</v>
      </c>
      <c r="N1069" s="21">
        <v>82252.3</v>
      </c>
      <c r="O1069" s="21">
        <v>52959.1</v>
      </c>
      <c r="P1069" s="26">
        <v>29293.200000000001</v>
      </c>
    </row>
    <row r="1070" spans="1:16" x14ac:dyDescent="0.3">
      <c r="A1070" s="25">
        <v>1069</v>
      </c>
      <c r="B1070" s="16" t="s">
        <v>57</v>
      </c>
      <c r="C1070" s="16">
        <v>2025</v>
      </c>
      <c r="D1070" s="16" t="s">
        <v>38</v>
      </c>
      <c r="E1070" s="16" t="s">
        <v>32</v>
      </c>
      <c r="F1070" s="16" t="s">
        <v>28</v>
      </c>
      <c r="G1070" s="16">
        <v>55</v>
      </c>
      <c r="H1070" s="16">
        <v>9954</v>
      </c>
      <c r="I1070" s="16">
        <v>367.7</v>
      </c>
      <c r="J1070" s="19">
        <v>0.86499999999999999</v>
      </c>
      <c r="K1070" s="16">
        <v>84.4</v>
      </c>
      <c r="L1070" s="19">
        <v>0.94699999999999995</v>
      </c>
      <c r="M1070" s="19">
        <v>5.5E-2</v>
      </c>
      <c r="N1070" s="21">
        <v>85146.35</v>
      </c>
      <c r="O1070" s="21">
        <v>53221.440000000002</v>
      </c>
      <c r="P1070" s="26">
        <v>31924.91</v>
      </c>
    </row>
    <row r="1071" spans="1:16" x14ac:dyDescent="0.3">
      <c r="A1071" s="25">
        <v>1070</v>
      </c>
      <c r="B1071" s="16" t="s">
        <v>57</v>
      </c>
      <c r="C1071" s="16">
        <v>2025</v>
      </c>
      <c r="D1071" s="16" t="s">
        <v>38</v>
      </c>
      <c r="E1071" s="16" t="s">
        <v>27</v>
      </c>
      <c r="F1071" s="16" t="s">
        <v>28</v>
      </c>
      <c r="G1071" s="16">
        <v>38</v>
      </c>
      <c r="H1071" s="16">
        <v>6445</v>
      </c>
      <c r="I1071" s="16">
        <v>426</v>
      </c>
      <c r="J1071" s="19">
        <v>0.86799999999999999</v>
      </c>
      <c r="K1071" s="16">
        <v>90.1</v>
      </c>
      <c r="L1071" s="19">
        <v>1</v>
      </c>
      <c r="M1071" s="19">
        <v>3.6999999999999998E-2</v>
      </c>
      <c r="N1071" s="21">
        <v>42476.67</v>
      </c>
      <c r="O1071" s="21">
        <v>31771.39</v>
      </c>
      <c r="P1071" s="26">
        <v>10705.28</v>
      </c>
    </row>
    <row r="1072" spans="1:16" x14ac:dyDescent="0.3">
      <c r="A1072" s="25">
        <v>1071</v>
      </c>
      <c r="B1072" s="16" t="s">
        <v>57</v>
      </c>
      <c r="C1072" s="16">
        <v>2025</v>
      </c>
      <c r="D1072" s="16" t="s">
        <v>38</v>
      </c>
      <c r="E1072" s="16" t="s">
        <v>30</v>
      </c>
      <c r="F1072" s="16" t="s">
        <v>28</v>
      </c>
      <c r="G1072" s="16">
        <v>58</v>
      </c>
      <c r="H1072" s="16">
        <v>8313</v>
      </c>
      <c r="I1072" s="16">
        <v>475.6</v>
      </c>
      <c r="J1072" s="19">
        <v>0.82599999999999996</v>
      </c>
      <c r="K1072" s="16">
        <v>85.7</v>
      </c>
      <c r="L1072" s="19">
        <v>1</v>
      </c>
      <c r="M1072" s="19">
        <v>3.3000000000000002E-2</v>
      </c>
      <c r="N1072" s="21">
        <v>91406.15</v>
      </c>
      <c r="O1072" s="21">
        <v>58126.44</v>
      </c>
      <c r="P1072" s="26">
        <v>33279.71</v>
      </c>
    </row>
    <row r="1073" spans="1:16" x14ac:dyDescent="0.3">
      <c r="A1073" s="25">
        <v>1072</v>
      </c>
      <c r="B1073" s="16" t="s">
        <v>57</v>
      </c>
      <c r="C1073" s="16">
        <v>2025</v>
      </c>
      <c r="D1073" s="16" t="s">
        <v>38</v>
      </c>
      <c r="E1073" s="16" t="s">
        <v>31</v>
      </c>
      <c r="F1073" s="16" t="s">
        <v>28</v>
      </c>
      <c r="G1073" s="16">
        <v>35</v>
      </c>
      <c r="H1073" s="16">
        <v>6093</v>
      </c>
      <c r="I1073" s="16">
        <v>410.9</v>
      </c>
      <c r="J1073" s="19">
        <v>0.81899999999999995</v>
      </c>
      <c r="K1073" s="16">
        <v>81.7</v>
      </c>
      <c r="L1073" s="19">
        <v>0.82299999999999995</v>
      </c>
      <c r="M1073" s="19">
        <v>4.9000000000000002E-2</v>
      </c>
      <c r="N1073" s="21">
        <v>60533.49</v>
      </c>
      <c r="O1073" s="21">
        <v>40654.870000000003</v>
      </c>
      <c r="P1073" s="26">
        <v>19878.62</v>
      </c>
    </row>
    <row r="1074" spans="1:16" x14ac:dyDescent="0.3">
      <c r="A1074" s="25">
        <v>1073</v>
      </c>
      <c r="B1074" s="16" t="s">
        <v>57</v>
      </c>
      <c r="C1074" s="16">
        <v>2025</v>
      </c>
      <c r="D1074" s="16" t="s">
        <v>38</v>
      </c>
      <c r="E1074" s="16" t="s">
        <v>27</v>
      </c>
      <c r="F1074" s="16" t="s">
        <v>29</v>
      </c>
      <c r="G1074" s="16">
        <v>31</v>
      </c>
      <c r="H1074" s="16">
        <v>4211</v>
      </c>
      <c r="I1074" s="16">
        <v>299.7</v>
      </c>
      <c r="J1074" s="19">
        <v>0.70899999999999996</v>
      </c>
      <c r="K1074" s="16">
        <v>83.9</v>
      </c>
      <c r="L1074" s="19">
        <v>0.92900000000000005</v>
      </c>
      <c r="M1074" s="19">
        <v>3.3000000000000002E-2</v>
      </c>
      <c r="N1074" s="21">
        <v>41116.720000000001</v>
      </c>
      <c r="O1074" s="21">
        <v>27942.04</v>
      </c>
      <c r="P1074" s="26">
        <v>13174.68</v>
      </c>
    </row>
    <row r="1075" spans="1:16" x14ac:dyDescent="0.3">
      <c r="A1075" s="25">
        <v>1074</v>
      </c>
      <c r="B1075" s="16" t="s">
        <v>57</v>
      </c>
      <c r="C1075" s="16">
        <v>2025</v>
      </c>
      <c r="D1075" s="16" t="s">
        <v>38</v>
      </c>
      <c r="E1075" s="16" t="s">
        <v>35</v>
      </c>
      <c r="F1075" s="16" t="s">
        <v>29</v>
      </c>
      <c r="G1075" s="16">
        <v>37</v>
      </c>
      <c r="H1075" s="16">
        <v>6986</v>
      </c>
      <c r="I1075" s="16">
        <v>248.7</v>
      </c>
      <c r="J1075" s="19">
        <v>0.58499999999999996</v>
      </c>
      <c r="K1075" s="16">
        <v>81.900000000000006</v>
      </c>
      <c r="L1075" s="19">
        <v>0.91800000000000004</v>
      </c>
      <c r="M1075" s="19">
        <v>0.04</v>
      </c>
      <c r="N1075" s="21">
        <v>41890.75</v>
      </c>
      <c r="O1075" s="21">
        <v>32630.29</v>
      </c>
      <c r="P1075" s="26">
        <v>9260.4599999999991</v>
      </c>
    </row>
    <row r="1076" spans="1:16" x14ac:dyDescent="0.3">
      <c r="A1076" s="25">
        <v>1075</v>
      </c>
      <c r="B1076" s="16" t="s">
        <v>57</v>
      </c>
      <c r="C1076" s="16">
        <v>2025</v>
      </c>
      <c r="D1076" s="16" t="s">
        <v>38</v>
      </c>
      <c r="E1076" s="16" t="s">
        <v>27</v>
      </c>
      <c r="F1076" s="16" t="s">
        <v>33</v>
      </c>
      <c r="G1076" s="16">
        <v>58</v>
      </c>
      <c r="H1076" s="16">
        <v>6997</v>
      </c>
      <c r="I1076" s="16">
        <v>446.6</v>
      </c>
      <c r="J1076" s="19">
        <v>0.69899999999999995</v>
      </c>
      <c r="K1076" s="16">
        <v>86.6</v>
      </c>
      <c r="L1076" s="19">
        <v>0.89800000000000002</v>
      </c>
      <c r="M1076" s="19">
        <v>2.4E-2</v>
      </c>
      <c r="N1076" s="21">
        <v>74253.2</v>
      </c>
      <c r="O1076" s="21">
        <v>46908.82</v>
      </c>
      <c r="P1076" s="26">
        <v>27344.38</v>
      </c>
    </row>
    <row r="1077" spans="1:16" x14ac:dyDescent="0.3">
      <c r="A1077" s="25">
        <v>1076</v>
      </c>
      <c r="B1077" s="16" t="s">
        <v>57</v>
      </c>
      <c r="C1077" s="16">
        <v>2025</v>
      </c>
      <c r="D1077" s="16" t="s">
        <v>38</v>
      </c>
      <c r="E1077" s="16" t="s">
        <v>31</v>
      </c>
      <c r="F1077" s="16" t="s">
        <v>33</v>
      </c>
      <c r="G1077" s="16">
        <v>38</v>
      </c>
      <c r="H1077" s="16">
        <v>5653</v>
      </c>
      <c r="I1077" s="16">
        <v>495.2</v>
      </c>
      <c r="J1077" s="19">
        <v>0.77400000000000002</v>
      </c>
      <c r="K1077" s="16">
        <v>82.1</v>
      </c>
      <c r="L1077" s="19">
        <v>0.88100000000000001</v>
      </c>
      <c r="M1077" s="19">
        <v>4.7E-2</v>
      </c>
      <c r="N1077" s="21">
        <v>65128.959999999999</v>
      </c>
      <c r="O1077" s="21">
        <v>43985.52</v>
      </c>
      <c r="P1077" s="26">
        <v>21143.439999999999</v>
      </c>
    </row>
    <row r="1078" spans="1:16" x14ac:dyDescent="0.3">
      <c r="A1078" s="25">
        <v>1077</v>
      </c>
      <c r="B1078" s="16" t="s">
        <v>57</v>
      </c>
      <c r="C1078" s="16">
        <v>2025</v>
      </c>
      <c r="D1078" s="16" t="s">
        <v>38</v>
      </c>
      <c r="E1078" s="16" t="s">
        <v>32</v>
      </c>
      <c r="F1078" s="16" t="s">
        <v>36</v>
      </c>
      <c r="G1078" s="16">
        <v>40</v>
      </c>
      <c r="H1078" s="16">
        <v>6902</v>
      </c>
      <c r="I1078" s="16">
        <v>940.4</v>
      </c>
      <c r="J1078" s="19">
        <v>0.69499999999999995</v>
      </c>
      <c r="K1078" s="16">
        <v>88</v>
      </c>
      <c r="L1078" s="19">
        <v>0.93600000000000005</v>
      </c>
      <c r="M1078" s="19">
        <v>0.03</v>
      </c>
      <c r="N1078" s="21">
        <v>53828.81</v>
      </c>
      <c r="O1078" s="21">
        <v>39895.040000000001</v>
      </c>
      <c r="P1078" s="26">
        <v>13933.77</v>
      </c>
    </row>
    <row r="1079" spans="1:16" x14ac:dyDescent="0.3">
      <c r="A1079" s="25">
        <v>1078</v>
      </c>
      <c r="B1079" s="16" t="s">
        <v>57</v>
      </c>
      <c r="C1079" s="16">
        <v>2025</v>
      </c>
      <c r="D1079" s="16" t="s">
        <v>38</v>
      </c>
      <c r="E1079" s="16" t="s">
        <v>27</v>
      </c>
      <c r="F1079" s="16" t="s">
        <v>37</v>
      </c>
      <c r="G1079" s="16">
        <v>72</v>
      </c>
      <c r="H1079" s="16">
        <v>11872</v>
      </c>
      <c r="I1079" s="16">
        <v>659.2</v>
      </c>
      <c r="J1079" s="19">
        <v>0.59199999999999997</v>
      </c>
      <c r="K1079" s="16">
        <v>76.5</v>
      </c>
      <c r="L1079" s="19">
        <v>0.96499999999999997</v>
      </c>
      <c r="M1079" s="19">
        <v>1.4999999999999999E-2</v>
      </c>
      <c r="N1079" s="21">
        <v>79447.27</v>
      </c>
      <c r="O1079" s="21">
        <v>55004.7</v>
      </c>
      <c r="P1079" s="26">
        <v>24442.57</v>
      </c>
    </row>
    <row r="1080" spans="1:16" x14ac:dyDescent="0.3">
      <c r="A1080" s="25">
        <v>1079</v>
      </c>
      <c r="B1080" s="16" t="s">
        <v>57</v>
      </c>
      <c r="C1080" s="16">
        <v>2025</v>
      </c>
      <c r="D1080" s="16" t="s">
        <v>38</v>
      </c>
      <c r="E1080" s="16" t="s">
        <v>34</v>
      </c>
      <c r="F1080" s="16" t="s">
        <v>37</v>
      </c>
      <c r="G1080" s="16">
        <v>49</v>
      </c>
      <c r="H1080" s="16">
        <v>7676</v>
      </c>
      <c r="I1080" s="16">
        <v>638.20000000000005</v>
      </c>
      <c r="J1080" s="19">
        <v>0.70599999999999996</v>
      </c>
      <c r="K1080" s="16">
        <v>75.099999999999994</v>
      </c>
      <c r="L1080" s="19">
        <v>0.877</v>
      </c>
      <c r="M1080" s="19">
        <v>3.7999999999999999E-2</v>
      </c>
      <c r="N1080" s="21">
        <v>72367.460000000006</v>
      </c>
      <c r="O1080" s="21">
        <v>48677.98</v>
      </c>
      <c r="P1080" s="26">
        <v>23689.48</v>
      </c>
    </row>
    <row r="1081" spans="1:16" x14ac:dyDescent="0.3">
      <c r="A1081" s="25">
        <v>1080</v>
      </c>
      <c r="B1081" s="16" t="s">
        <v>57</v>
      </c>
      <c r="C1081" s="16">
        <v>2025</v>
      </c>
      <c r="D1081" s="16" t="s">
        <v>38</v>
      </c>
      <c r="E1081" s="16" t="s">
        <v>31</v>
      </c>
      <c r="F1081" s="16" t="s">
        <v>37</v>
      </c>
      <c r="G1081" s="16">
        <v>39</v>
      </c>
      <c r="H1081" s="16">
        <v>5990</v>
      </c>
      <c r="I1081" s="16">
        <v>587.5</v>
      </c>
      <c r="J1081" s="19">
        <v>0.61799999999999999</v>
      </c>
      <c r="K1081" s="16">
        <v>94.2</v>
      </c>
      <c r="L1081" s="19">
        <v>1</v>
      </c>
      <c r="M1081" s="19">
        <v>3.7999999999999999E-2</v>
      </c>
      <c r="N1081" s="21">
        <v>52604.4</v>
      </c>
      <c r="O1081" s="21">
        <v>35204.959999999999</v>
      </c>
      <c r="P1081" s="26">
        <v>17399.439999999999</v>
      </c>
    </row>
    <row r="1082" spans="1:16" x14ac:dyDescent="0.3">
      <c r="A1082" s="25">
        <v>1081</v>
      </c>
      <c r="B1082" s="16" t="s">
        <v>57</v>
      </c>
      <c r="C1082" s="16">
        <v>2025</v>
      </c>
      <c r="D1082" s="16" t="s">
        <v>39</v>
      </c>
      <c r="E1082" s="16" t="s">
        <v>32</v>
      </c>
      <c r="F1082" s="16" t="s">
        <v>28</v>
      </c>
      <c r="G1082" s="16">
        <v>42</v>
      </c>
      <c r="H1082" s="16">
        <v>7814</v>
      </c>
      <c r="I1082" s="16">
        <v>418.4</v>
      </c>
      <c r="J1082" s="19">
        <v>0.624</v>
      </c>
      <c r="K1082" s="16">
        <v>91.4</v>
      </c>
      <c r="L1082" s="19">
        <v>0.89700000000000002</v>
      </c>
      <c r="M1082" s="19">
        <v>3.4000000000000002E-2</v>
      </c>
      <c r="N1082" s="21">
        <v>50077.55</v>
      </c>
      <c r="O1082" s="21">
        <v>37679.72</v>
      </c>
      <c r="P1082" s="26">
        <v>12397.83</v>
      </c>
    </row>
    <row r="1083" spans="1:16" x14ac:dyDescent="0.3">
      <c r="A1083" s="25">
        <v>1082</v>
      </c>
      <c r="B1083" s="16" t="s">
        <v>57</v>
      </c>
      <c r="C1083" s="16">
        <v>2025</v>
      </c>
      <c r="D1083" s="16" t="s">
        <v>39</v>
      </c>
      <c r="E1083" s="16" t="s">
        <v>34</v>
      </c>
      <c r="F1083" s="16" t="s">
        <v>28</v>
      </c>
      <c r="G1083" s="16">
        <v>53</v>
      </c>
      <c r="H1083" s="16">
        <v>9543</v>
      </c>
      <c r="I1083" s="16">
        <v>370</v>
      </c>
      <c r="J1083" s="19">
        <v>0.75900000000000001</v>
      </c>
      <c r="K1083" s="16">
        <v>81.3</v>
      </c>
      <c r="L1083" s="19">
        <v>0.875</v>
      </c>
      <c r="M1083" s="19">
        <v>3.6999999999999998E-2</v>
      </c>
      <c r="N1083" s="21">
        <v>90418.81</v>
      </c>
      <c r="O1083" s="21">
        <v>60910.28</v>
      </c>
      <c r="P1083" s="26">
        <v>29508.53</v>
      </c>
    </row>
    <row r="1084" spans="1:16" x14ac:dyDescent="0.3">
      <c r="A1084" s="25">
        <v>1083</v>
      </c>
      <c r="B1084" s="16" t="s">
        <v>57</v>
      </c>
      <c r="C1084" s="16">
        <v>2025</v>
      </c>
      <c r="D1084" s="16" t="s">
        <v>39</v>
      </c>
      <c r="E1084" s="16" t="s">
        <v>31</v>
      </c>
      <c r="F1084" s="16" t="s">
        <v>28</v>
      </c>
      <c r="G1084" s="16">
        <v>30</v>
      </c>
      <c r="H1084" s="16">
        <v>5204</v>
      </c>
      <c r="I1084" s="16">
        <v>416.1</v>
      </c>
      <c r="J1084" s="19">
        <v>0.68899999999999995</v>
      </c>
      <c r="K1084" s="16">
        <v>80.8</v>
      </c>
      <c r="L1084" s="19">
        <v>0.98499999999999999</v>
      </c>
      <c r="M1084" s="19">
        <v>2.4E-2</v>
      </c>
      <c r="N1084" s="21">
        <v>40057.269999999997</v>
      </c>
      <c r="O1084" s="21">
        <v>27110.39</v>
      </c>
      <c r="P1084" s="26">
        <v>12946.88</v>
      </c>
    </row>
    <row r="1085" spans="1:16" x14ac:dyDescent="0.3">
      <c r="A1085" s="25">
        <v>1084</v>
      </c>
      <c r="B1085" s="16" t="s">
        <v>57</v>
      </c>
      <c r="C1085" s="16">
        <v>2025</v>
      </c>
      <c r="D1085" s="16" t="s">
        <v>39</v>
      </c>
      <c r="E1085" s="16" t="s">
        <v>35</v>
      </c>
      <c r="F1085" s="16" t="s">
        <v>28</v>
      </c>
      <c r="G1085" s="16">
        <v>55</v>
      </c>
      <c r="H1085" s="16">
        <v>8004</v>
      </c>
      <c r="I1085" s="16">
        <v>429.5</v>
      </c>
      <c r="J1085" s="19">
        <v>0.755</v>
      </c>
      <c r="K1085" s="16">
        <v>77.099999999999994</v>
      </c>
      <c r="L1085" s="19">
        <v>0.879</v>
      </c>
      <c r="M1085" s="19">
        <v>5.8000000000000003E-2</v>
      </c>
      <c r="N1085" s="21">
        <v>80585</v>
      </c>
      <c r="O1085" s="21">
        <v>53466.39</v>
      </c>
      <c r="P1085" s="26">
        <v>27118.61</v>
      </c>
    </row>
    <row r="1086" spans="1:16" x14ac:dyDescent="0.3">
      <c r="A1086" s="25">
        <v>1085</v>
      </c>
      <c r="B1086" s="16" t="s">
        <v>57</v>
      </c>
      <c r="C1086" s="16">
        <v>2025</v>
      </c>
      <c r="D1086" s="16" t="s">
        <v>39</v>
      </c>
      <c r="E1086" s="16" t="s">
        <v>32</v>
      </c>
      <c r="F1086" s="16" t="s">
        <v>29</v>
      </c>
      <c r="G1086" s="16">
        <v>56</v>
      </c>
      <c r="H1086" s="16">
        <v>10246</v>
      </c>
      <c r="I1086" s="16">
        <v>309.8</v>
      </c>
      <c r="J1086" s="19">
        <v>0.78800000000000003</v>
      </c>
      <c r="K1086" s="16">
        <v>74</v>
      </c>
      <c r="L1086" s="19">
        <v>0.92800000000000005</v>
      </c>
      <c r="M1086" s="19">
        <v>4.4999999999999998E-2</v>
      </c>
      <c r="N1086" s="21">
        <v>97912.4</v>
      </c>
      <c r="O1086" s="21">
        <v>71637.490000000005</v>
      </c>
      <c r="P1086" s="26">
        <v>26274.91</v>
      </c>
    </row>
    <row r="1087" spans="1:16" x14ac:dyDescent="0.3">
      <c r="A1087" s="25">
        <v>1086</v>
      </c>
      <c r="B1087" s="16" t="s">
        <v>57</v>
      </c>
      <c r="C1087" s="16">
        <v>2025</v>
      </c>
      <c r="D1087" s="16" t="s">
        <v>39</v>
      </c>
      <c r="E1087" s="16" t="s">
        <v>30</v>
      </c>
      <c r="F1087" s="16" t="s">
        <v>29</v>
      </c>
      <c r="G1087" s="16">
        <v>38</v>
      </c>
      <c r="H1087" s="16">
        <v>5396</v>
      </c>
      <c r="I1087" s="16">
        <v>298.39999999999998</v>
      </c>
      <c r="J1087" s="19">
        <v>0.74199999999999999</v>
      </c>
      <c r="K1087" s="16">
        <v>76.5</v>
      </c>
      <c r="L1087" s="19">
        <v>0.95099999999999996</v>
      </c>
      <c r="M1087" s="19">
        <v>3.7999999999999999E-2</v>
      </c>
      <c r="N1087" s="21">
        <v>54430.87</v>
      </c>
      <c r="O1087" s="21">
        <v>37791.31</v>
      </c>
      <c r="P1087" s="26">
        <v>16639.560000000001</v>
      </c>
    </row>
    <row r="1088" spans="1:16" x14ac:dyDescent="0.3">
      <c r="A1088" s="25">
        <v>1087</v>
      </c>
      <c r="B1088" s="16" t="s">
        <v>57</v>
      </c>
      <c r="C1088" s="16">
        <v>2025</v>
      </c>
      <c r="D1088" s="16" t="s">
        <v>39</v>
      </c>
      <c r="E1088" s="16" t="s">
        <v>32</v>
      </c>
      <c r="F1088" s="16" t="s">
        <v>33</v>
      </c>
      <c r="G1088" s="16">
        <v>39</v>
      </c>
      <c r="H1088" s="16">
        <v>7187</v>
      </c>
      <c r="I1088" s="16">
        <v>513.9</v>
      </c>
      <c r="J1088" s="19">
        <v>0.83599999999999997</v>
      </c>
      <c r="K1088" s="16">
        <v>80.099999999999994</v>
      </c>
      <c r="L1088" s="19">
        <v>0.999</v>
      </c>
      <c r="M1088" s="19">
        <v>2.1999999999999999E-2</v>
      </c>
      <c r="N1088" s="21">
        <v>56844.87</v>
      </c>
      <c r="O1088" s="21">
        <v>41053.120000000003</v>
      </c>
      <c r="P1088" s="26">
        <v>15791.75</v>
      </c>
    </row>
    <row r="1089" spans="1:16" x14ac:dyDescent="0.3">
      <c r="A1089" s="25">
        <v>1088</v>
      </c>
      <c r="B1089" s="16" t="s">
        <v>57</v>
      </c>
      <c r="C1089" s="16">
        <v>2025</v>
      </c>
      <c r="D1089" s="16" t="s">
        <v>39</v>
      </c>
      <c r="E1089" s="16" t="s">
        <v>30</v>
      </c>
      <c r="F1089" s="16" t="s">
        <v>33</v>
      </c>
      <c r="G1089" s="16">
        <v>59</v>
      </c>
      <c r="H1089" s="16">
        <v>11885</v>
      </c>
      <c r="I1089" s="16">
        <v>454.3</v>
      </c>
      <c r="J1089" s="19">
        <v>0.80700000000000005</v>
      </c>
      <c r="K1089" s="16">
        <v>84.4</v>
      </c>
      <c r="L1089" s="19">
        <v>0.91100000000000003</v>
      </c>
      <c r="M1089" s="19">
        <v>3.9E-2</v>
      </c>
      <c r="N1089" s="21">
        <v>109871.08</v>
      </c>
      <c r="O1089" s="21">
        <v>71960.08</v>
      </c>
      <c r="P1089" s="26">
        <v>37911</v>
      </c>
    </row>
    <row r="1090" spans="1:16" x14ac:dyDescent="0.3">
      <c r="A1090" s="25">
        <v>1089</v>
      </c>
      <c r="B1090" s="16" t="s">
        <v>57</v>
      </c>
      <c r="C1090" s="16">
        <v>2025</v>
      </c>
      <c r="D1090" s="16" t="s">
        <v>39</v>
      </c>
      <c r="E1090" s="16" t="s">
        <v>35</v>
      </c>
      <c r="F1090" s="16" t="s">
        <v>33</v>
      </c>
      <c r="G1090" s="16">
        <v>70</v>
      </c>
      <c r="H1090" s="16">
        <v>11904</v>
      </c>
      <c r="I1090" s="16">
        <v>527</v>
      </c>
      <c r="J1090" s="19">
        <v>0.80800000000000005</v>
      </c>
      <c r="K1090" s="16">
        <v>85.2</v>
      </c>
      <c r="L1090" s="19">
        <v>0.92500000000000004</v>
      </c>
      <c r="M1090" s="19">
        <v>3.5000000000000003E-2</v>
      </c>
      <c r="N1090" s="21">
        <v>80459.56</v>
      </c>
      <c r="O1090" s="21">
        <v>51649.93</v>
      </c>
      <c r="P1090" s="26">
        <v>28809.63</v>
      </c>
    </row>
    <row r="1091" spans="1:16" x14ac:dyDescent="0.3">
      <c r="A1091" s="25">
        <v>1090</v>
      </c>
      <c r="B1091" s="16" t="s">
        <v>57</v>
      </c>
      <c r="C1091" s="16">
        <v>2025</v>
      </c>
      <c r="D1091" s="16" t="s">
        <v>39</v>
      </c>
      <c r="E1091" s="16" t="s">
        <v>30</v>
      </c>
      <c r="F1091" s="16" t="s">
        <v>36</v>
      </c>
      <c r="G1091" s="16">
        <v>29</v>
      </c>
      <c r="H1091" s="16">
        <v>5988</v>
      </c>
      <c r="I1091" s="16">
        <v>942.8</v>
      </c>
      <c r="J1091" s="19">
        <v>0.7</v>
      </c>
      <c r="K1091" s="16">
        <v>82.9</v>
      </c>
      <c r="L1091" s="19">
        <v>0.93400000000000005</v>
      </c>
      <c r="M1091" s="19">
        <v>2.8000000000000001E-2</v>
      </c>
      <c r="N1091" s="21">
        <v>37637.56</v>
      </c>
      <c r="O1091" s="21">
        <v>25774.959999999999</v>
      </c>
      <c r="P1091" s="26">
        <v>11862.6</v>
      </c>
    </row>
    <row r="1092" spans="1:16" x14ac:dyDescent="0.3">
      <c r="A1092" s="25">
        <v>1091</v>
      </c>
      <c r="B1092" s="16" t="s">
        <v>57</v>
      </c>
      <c r="C1092" s="16">
        <v>2025</v>
      </c>
      <c r="D1092" s="16" t="s">
        <v>39</v>
      </c>
      <c r="E1092" s="16" t="s">
        <v>34</v>
      </c>
      <c r="F1092" s="16" t="s">
        <v>36</v>
      </c>
      <c r="G1092" s="16">
        <v>42</v>
      </c>
      <c r="H1092" s="16">
        <v>7243</v>
      </c>
      <c r="I1092" s="16">
        <v>876.4</v>
      </c>
      <c r="J1092" s="19">
        <v>0.72</v>
      </c>
      <c r="K1092" s="16">
        <v>79.3</v>
      </c>
      <c r="L1092" s="19">
        <v>0.97299999999999998</v>
      </c>
      <c r="M1092" s="19">
        <v>3.5000000000000003E-2</v>
      </c>
      <c r="N1092" s="21">
        <v>55237.01</v>
      </c>
      <c r="O1092" s="21">
        <v>42680.37</v>
      </c>
      <c r="P1092" s="26">
        <v>12556.64</v>
      </c>
    </row>
    <row r="1093" spans="1:16" x14ac:dyDescent="0.3">
      <c r="A1093" s="25">
        <v>1092</v>
      </c>
      <c r="B1093" s="16" t="s">
        <v>57</v>
      </c>
      <c r="C1093" s="16">
        <v>2025</v>
      </c>
      <c r="D1093" s="16" t="s">
        <v>39</v>
      </c>
      <c r="E1093" s="16" t="s">
        <v>35</v>
      </c>
      <c r="F1093" s="16" t="s">
        <v>36</v>
      </c>
      <c r="G1093" s="16">
        <v>58</v>
      </c>
      <c r="H1093" s="16">
        <v>9320</v>
      </c>
      <c r="I1093" s="16">
        <v>856.7</v>
      </c>
      <c r="J1093" s="19">
        <v>0.73299999999999998</v>
      </c>
      <c r="K1093" s="16">
        <v>78.3</v>
      </c>
      <c r="L1093" s="19">
        <v>0.82499999999999996</v>
      </c>
      <c r="M1093" s="19">
        <v>2.5999999999999999E-2</v>
      </c>
      <c r="N1093" s="21">
        <v>79939.61</v>
      </c>
      <c r="O1093" s="21">
        <v>57799.51</v>
      </c>
      <c r="P1093" s="26">
        <v>22140.1</v>
      </c>
    </row>
    <row r="1094" spans="1:16" x14ac:dyDescent="0.3">
      <c r="A1094" s="25">
        <v>1093</v>
      </c>
      <c r="B1094" s="16" t="s">
        <v>57</v>
      </c>
      <c r="C1094" s="16">
        <v>2025</v>
      </c>
      <c r="D1094" s="16" t="s">
        <v>39</v>
      </c>
      <c r="E1094" s="16" t="s">
        <v>32</v>
      </c>
      <c r="F1094" s="16" t="s">
        <v>37</v>
      </c>
      <c r="G1094" s="16">
        <v>49</v>
      </c>
      <c r="H1094" s="16">
        <v>8125</v>
      </c>
      <c r="I1094" s="16">
        <v>692.7</v>
      </c>
      <c r="J1094" s="19">
        <v>0.68899999999999995</v>
      </c>
      <c r="K1094" s="16">
        <v>94.4</v>
      </c>
      <c r="L1094" s="19">
        <v>0.79600000000000004</v>
      </c>
      <c r="M1094" s="19">
        <v>3.4000000000000002E-2</v>
      </c>
      <c r="N1094" s="21">
        <v>67269.23</v>
      </c>
      <c r="O1094" s="21">
        <v>42309.97</v>
      </c>
      <c r="P1094" s="26">
        <v>24959.26</v>
      </c>
    </row>
    <row r="1095" spans="1:16" x14ac:dyDescent="0.3">
      <c r="A1095" s="25">
        <v>1094</v>
      </c>
      <c r="B1095" s="16" t="s">
        <v>57</v>
      </c>
      <c r="C1095" s="16">
        <v>2025</v>
      </c>
      <c r="D1095" s="16" t="s">
        <v>39</v>
      </c>
      <c r="E1095" s="16" t="s">
        <v>34</v>
      </c>
      <c r="F1095" s="16" t="s">
        <v>37</v>
      </c>
      <c r="G1095" s="16">
        <v>54</v>
      </c>
      <c r="H1095" s="16">
        <v>7072</v>
      </c>
      <c r="I1095" s="16">
        <v>705.8</v>
      </c>
      <c r="J1095" s="19">
        <v>0.58499999999999996</v>
      </c>
      <c r="K1095" s="16">
        <v>77.7</v>
      </c>
      <c r="L1095" s="19">
        <v>0.91800000000000004</v>
      </c>
      <c r="M1095" s="19">
        <v>2.3E-2</v>
      </c>
      <c r="N1095" s="21">
        <v>66654.850000000006</v>
      </c>
      <c r="O1095" s="21">
        <v>50417.84</v>
      </c>
      <c r="P1095" s="26">
        <v>16237.01</v>
      </c>
    </row>
    <row r="1096" spans="1:16" x14ac:dyDescent="0.3">
      <c r="A1096" s="25">
        <v>1095</v>
      </c>
      <c r="B1096" s="16" t="s">
        <v>57</v>
      </c>
      <c r="C1096" s="16">
        <v>2025</v>
      </c>
      <c r="D1096" s="16" t="s">
        <v>39</v>
      </c>
      <c r="E1096" s="16" t="s">
        <v>31</v>
      </c>
      <c r="F1096" s="16" t="s">
        <v>37</v>
      </c>
      <c r="G1096" s="16">
        <v>62</v>
      </c>
      <c r="H1096" s="16">
        <v>10712</v>
      </c>
      <c r="I1096" s="16">
        <v>678.4</v>
      </c>
      <c r="J1096" s="19">
        <v>0.79800000000000004</v>
      </c>
      <c r="K1096" s="16">
        <v>83</v>
      </c>
      <c r="L1096" s="19">
        <v>0.97699999999999998</v>
      </c>
      <c r="M1096" s="19">
        <v>2.7E-2</v>
      </c>
      <c r="N1096" s="21">
        <v>102505.94</v>
      </c>
      <c r="O1096" s="21">
        <v>70563.960000000006</v>
      </c>
      <c r="P1096" s="26">
        <v>31941.98</v>
      </c>
    </row>
    <row r="1097" spans="1:16" x14ac:dyDescent="0.3">
      <c r="A1097" s="25">
        <v>1096</v>
      </c>
      <c r="B1097" s="16" t="s">
        <v>57</v>
      </c>
      <c r="C1097" s="16">
        <v>2025</v>
      </c>
      <c r="D1097" s="16" t="s">
        <v>40</v>
      </c>
      <c r="E1097" s="16" t="s">
        <v>30</v>
      </c>
      <c r="F1097" s="16" t="s">
        <v>28</v>
      </c>
      <c r="G1097" s="16">
        <v>37</v>
      </c>
      <c r="H1097" s="16">
        <v>5865</v>
      </c>
      <c r="I1097" s="16">
        <v>520.29999999999995</v>
      </c>
      <c r="J1097" s="19">
        <v>0.88800000000000001</v>
      </c>
      <c r="K1097" s="16">
        <v>90.5</v>
      </c>
      <c r="L1097" s="19">
        <v>1</v>
      </c>
      <c r="M1097" s="19">
        <v>2.1999999999999999E-2</v>
      </c>
      <c r="N1097" s="21">
        <v>62989.37</v>
      </c>
      <c r="O1097" s="21">
        <v>46347.54</v>
      </c>
      <c r="P1097" s="26">
        <v>16641.830000000002</v>
      </c>
    </row>
    <row r="1098" spans="1:16" x14ac:dyDescent="0.3">
      <c r="A1098" s="25">
        <v>1097</v>
      </c>
      <c r="B1098" s="16" t="s">
        <v>57</v>
      </c>
      <c r="C1098" s="16">
        <v>2025</v>
      </c>
      <c r="D1098" s="16" t="s">
        <v>40</v>
      </c>
      <c r="E1098" s="16" t="s">
        <v>31</v>
      </c>
      <c r="F1098" s="16" t="s">
        <v>28</v>
      </c>
      <c r="G1098" s="16">
        <v>61</v>
      </c>
      <c r="H1098" s="16">
        <v>10282</v>
      </c>
      <c r="I1098" s="16">
        <v>396.4</v>
      </c>
      <c r="J1098" s="19">
        <v>0.65400000000000003</v>
      </c>
      <c r="K1098" s="16">
        <v>82.6</v>
      </c>
      <c r="L1098" s="19">
        <v>0.97599999999999998</v>
      </c>
      <c r="M1098" s="19">
        <v>3.5999999999999997E-2</v>
      </c>
      <c r="N1098" s="21">
        <v>79963.850000000006</v>
      </c>
      <c r="O1098" s="21">
        <v>59026.879999999997</v>
      </c>
      <c r="P1098" s="26">
        <v>20936.97</v>
      </c>
    </row>
    <row r="1099" spans="1:16" x14ac:dyDescent="0.3">
      <c r="A1099" s="25">
        <v>1098</v>
      </c>
      <c r="B1099" s="16" t="s">
        <v>57</v>
      </c>
      <c r="C1099" s="16">
        <v>2025</v>
      </c>
      <c r="D1099" s="16" t="s">
        <v>40</v>
      </c>
      <c r="E1099" s="16" t="s">
        <v>30</v>
      </c>
      <c r="F1099" s="16" t="s">
        <v>29</v>
      </c>
      <c r="G1099" s="16">
        <v>52</v>
      </c>
      <c r="H1099" s="16">
        <v>10046</v>
      </c>
      <c r="I1099" s="16">
        <v>359.6</v>
      </c>
      <c r="J1099" s="19">
        <v>0.63200000000000001</v>
      </c>
      <c r="K1099" s="16">
        <v>81.3</v>
      </c>
      <c r="L1099" s="19">
        <v>0.77300000000000002</v>
      </c>
      <c r="M1099" s="19">
        <v>4.2000000000000003E-2</v>
      </c>
      <c r="N1099" s="21">
        <v>59882.85</v>
      </c>
      <c r="O1099" s="21">
        <v>43159.41</v>
      </c>
      <c r="P1099" s="26">
        <v>16723.439999999999</v>
      </c>
    </row>
    <row r="1100" spans="1:16" x14ac:dyDescent="0.3">
      <c r="A1100" s="25">
        <v>1099</v>
      </c>
      <c r="B1100" s="16" t="s">
        <v>57</v>
      </c>
      <c r="C1100" s="16">
        <v>2025</v>
      </c>
      <c r="D1100" s="16" t="s">
        <v>40</v>
      </c>
      <c r="E1100" s="16" t="s">
        <v>34</v>
      </c>
      <c r="F1100" s="16" t="s">
        <v>29</v>
      </c>
      <c r="G1100" s="16">
        <v>58</v>
      </c>
      <c r="H1100" s="16">
        <v>9416</v>
      </c>
      <c r="I1100" s="16">
        <v>264.7</v>
      </c>
      <c r="J1100" s="19">
        <v>0.61499999999999999</v>
      </c>
      <c r="K1100" s="16">
        <v>87.7</v>
      </c>
      <c r="L1100" s="19">
        <v>0.90600000000000003</v>
      </c>
      <c r="M1100" s="19">
        <v>1.9E-2</v>
      </c>
      <c r="N1100" s="21">
        <v>64914.05</v>
      </c>
      <c r="O1100" s="21">
        <v>43261.81</v>
      </c>
      <c r="P1100" s="26">
        <v>21652.240000000002</v>
      </c>
    </row>
    <row r="1101" spans="1:16" x14ac:dyDescent="0.3">
      <c r="A1101" s="25">
        <v>1100</v>
      </c>
      <c r="B1101" s="16" t="s">
        <v>57</v>
      </c>
      <c r="C1101" s="16">
        <v>2025</v>
      </c>
      <c r="D1101" s="16" t="s">
        <v>40</v>
      </c>
      <c r="E1101" s="16" t="s">
        <v>31</v>
      </c>
      <c r="F1101" s="16" t="s">
        <v>29</v>
      </c>
      <c r="G1101" s="16">
        <v>47</v>
      </c>
      <c r="H1101" s="16">
        <v>6382</v>
      </c>
      <c r="I1101" s="16">
        <v>235.5</v>
      </c>
      <c r="J1101" s="19">
        <v>0.65</v>
      </c>
      <c r="K1101" s="16">
        <v>73.400000000000006</v>
      </c>
      <c r="L1101" s="19">
        <v>0.77600000000000002</v>
      </c>
      <c r="M1101" s="19">
        <v>4.5999999999999999E-2</v>
      </c>
      <c r="N1101" s="21">
        <v>54283.519999999997</v>
      </c>
      <c r="O1101" s="21">
        <v>33802.82</v>
      </c>
      <c r="P1101" s="26">
        <v>20480.7</v>
      </c>
    </row>
    <row r="1102" spans="1:16" x14ac:dyDescent="0.3">
      <c r="A1102" s="25">
        <v>1101</v>
      </c>
      <c r="B1102" s="16" t="s">
        <v>57</v>
      </c>
      <c r="C1102" s="16">
        <v>2025</v>
      </c>
      <c r="D1102" s="16" t="s">
        <v>40</v>
      </c>
      <c r="E1102" s="16" t="s">
        <v>27</v>
      </c>
      <c r="F1102" s="16" t="s">
        <v>36</v>
      </c>
      <c r="G1102" s="16">
        <v>69</v>
      </c>
      <c r="H1102" s="16">
        <v>12620</v>
      </c>
      <c r="I1102" s="16">
        <v>944.6</v>
      </c>
      <c r="J1102" s="19">
        <v>0.53200000000000003</v>
      </c>
      <c r="K1102" s="16">
        <v>82.5</v>
      </c>
      <c r="L1102" s="19">
        <v>0.86599999999999999</v>
      </c>
      <c r="M1102" s="19">
        <v>3.7999999999999999E-2</v>
      </c>
      <c r="N1102" s="21">
        <v>97124.25</v>
      </c>
      <c r="O1102" s="21">
        <v>66708.61</v>
      </c>
      <c r="P1102" s="26">
        <v>30415.64</v>
      </c>
    </row>
    <row r="1103" spans="1:16" x14ac:dyDescent="0.3">
      <c r="A1103" s="25">
        <v>1102</v>
      </c>
      <c r="B1103" s="16" t="s">
        <v>57</v>
      </c>
      <c r="C1103" s="16">
        <v>2025</v>
      </c>
      <c r="D1103" s="16" t="s">
        <v>40</v>
      </c>
      <c r="E1103" s="16" t="s">
        <v>30</v>
      </c>
      <c r="F1103" s="16" t="s">
        <v>36</v>
      </c>
      <c r="G1103" s="16">
        <v>41</v>
      </c>
      <c r="H1103" s="16">
        <v>6158</v>
      </c>
      <c r="I1103" s="16">
        <v>874.8</v>
      </c>
      <c r="J1103" s="19">
        <v>0.626</v>
      </c>
      <c r="K1103" s="16">
        <v>86.1</v>
      </c>
      <c r="L1103" s="19">
        <v>0.93600000000000005</v>
      </c>
      <c r="M1103" s="19">
        <v>0.01</v>
      </c>
      <c r="N1103" s="21">
        <v>56223.62</v>
      </c>
      <c r="O1103" s="21">
        <v>38137.61</v>
      </c>
      <c r="P1103" s="26">
        <v>18086.009999999998</v>
      </c>
    </row>
    <row r="1104" spans="1:16" x14ac:dyDescent="0.3">
      <c r="A1104" s="25">
        <v>1103</v>
      </c>
      <c r="B1104" s="16" t="s">
        <v>57</v>
      </c>
      <c r="C1104" s="16">
        <v>2025</v>
      </c>
      <c r="D1104" s="16" t="s">
        <v>40</v>
      </c>
      <c r="E1104" s="16" t="s">
        <v>34</v>
      </c>
      <c r="F1104" s="16" t="s">
        <v>36</v>
      </c>
      <c r="G1104" s="16">
        <v>22</v>
      </c>
      <c r="H1104" s="16">
        <v>4517</v>
      </c>
      <c r="I1104" s="16">
        <v>920.5</v>
      </c>
      <c r="J1104" s="19">
        <v>0.745</v>
      </c>
      <c r="K1104" s="16">
        <v>80.2</v>
      </c>
      <c r="L1104" s="19">
        <v>0.96799999999999997</v>
      </c>
      <c r="M1104" s="19">
        <v>3.1E-2</v>
      </c>
      <c r="N1104" s="21">
        <v>30936.16</v>
      </c>
      <c r="O1104" s="21">
        <v>21675.3</v>
      </c>
      <c r="P1104" s="26">
        <v>9260.86</v>
      </c>
    </row>
    <row r="1105" spans="1:16" x14ac:dyDescent="0.3">
      <c r="A1105" s="25">
        <v>1104</v>
      </c>
      <c r="B1105" s="16" t="s">
        <v>57</v>
      </c>
      <c r="C1105" s="16">
        <v>2025</v>
      </c>
      <c r="D1105" s="16" t="s">
        <v>40</v>
      </c>
      <c r="E1105" s="16" t="s">
        <v>31</v>
      </c>
      <c r="F1105" s="16" t="s">
        <v>36</v>
      </c>
      <c r="G1105" s="16">
        <v>68</v>
      </c>
      <c r="H1105" s="16">
        <v>12124</v>
      </c>
      <c r="I1105" s="16">
        <v>923.4</v>
      </c>
      <c r="J1105" s="19">
        <v>0.6</v>
      </c>
      <c r="K1105" s="16">
        <v>85.9</v>
      </c>
      <c r="L1105" s="19">
        <v>0.84899999999999998</v>
      </c>
      <c r="M1105" s="19">
        <v>1.7999999999999999E-2</v>
      </c>
      <c r="N1105" s="21">
        <v>103298.14</v>
      </c>
      <c r="O1105" s="21">
        <v>66095.88</v>
      </c>
      <c r="P1105" s="26">
        <v>37202.26</v>
      </c>
    </row>
    <row r="1106" spans="1:16" x14ac:dyDescent="0.3">
      <c r="A1106" s="25">
        <v>1105</v>
      </c>
      <c r="B1106" s="16" t="s">
        <v>57</v>
      </c>
      <c r="C1106" s="16">
        <v>2025</v>
      </c>
      <c r="D1106" s="16" t="s">
        <v>40</v>
      </c>
      <c r="E1106" s="16" t="s">
        <v>34</v>
      </c>
      <c r="F1106" s="16" t="s">
        <v>37</v>
      </c>
      <c r="G1106" s="16">
        <v>58</v>
      </c>
      <c r="H1106" s="16">
        <v>11667</v>
      </c>
      <c r="I1106" s="16">
        <v>640</v>
      </c>
      <c r="J1106" s="19">
        <v>0.71199999999999997</v>
      </c>
      <c r="K1106" s="16">
        <v>75.8</v>
      </c>
      <c r="L1106" s="19">
        <v>0.95599999999999996</v>
      </c>
      <c r="M1106" s="19">
        <v>4.9000000000000002E-2</v>
      </c>
      <c r="N1106" s="21">
        <v>77952.509999999995</v>
      </c>
      <c r="O1106" s="21">
        <v>53785.5</v>
      </c>
      <c r="P1106" s="26">
        <v>24167.01</v>
      </c>
    </row>
    <row r="1107" spans="1:16" x14ac:dyDescent="0.3">
      <c r="A1107" s="25">
        <v>1106</v>
      </c>
      <c r="B1107" s="16" t="s">
        <v>57</v>
      </c>
      <c r="C1107" s="16">
        <v>2025</v>
      </c>
      <c r="D1107" s="16" t="s">
        <v>40</v>
      </c>
      <c r="E1107" s="16" t="s">
        <v>35</v>
      </c>
      <c r="F1107" s="16" t="s">
        <v>37</v>
      </c>
      <c r="G1107" s="16">
        <v>53</v>
      </c>
      <c r="H1107" s="16">
        <v>9724</v>
      </c>
      <c r="I1107" s="16">
        <v>624.1</v>
      </c>
      <c r="J1107" s="19">
        <v>0.67600000000000005</v>
      </c>
      <c r="K1107" s="16">
        <v>81.3</v>
      </c>
      <c r="L1107" s="19">
        <v>0.83599999999999997</v>
      </c>
      <c r="M1107" s="19">
        <v>1.7000000000000001E-2</v>
      </c>
      <c r="N1107" s="21">
        <v>68358.960000000006</v>
      </c>
      <c r="O1107" s="21">
        <v>44138.18</v>
      </c>
      <c r="P1107" s="26">
        <v>24220.78</v>
      </c>
    </row>
    <row r="1108" spans="1:16" x14ac:dyDescent="0.3">
      <c r="A1108" s="25">
        <v>1107</v>
      </c>
      <c r="B1108" s="16" t="s">
        <v>57</v>
      </c>
      <c r="C1108" s="16">
        <v>2025</v>
      </c>
      <c r="D1108" s="16" t="s">
        <v>41</v>
      </c>
      <c r="E1108" s="16" t="s">
        <v>30</v>
      </c>
      <c r="F1108" s="16" t="s">
        <v>28</v>
      </c>
      <c r="G1108" s="16">
        <v>46</v>
      </c>
      <c r="H1108" s="16">
        <v>9252</v>
      </c>
      <c r="I1108" s="16">
        <v>399.2</v>
      </c>
      <c r="J1108" s="19">
        <v>0.78</v>
      </c>
      <c r="K1108" s="16">
        <v>85.5</v>
      </c>
      <c r="L1108" s="19">
        <v>1</v>
      </c>
      <c r="M1108" s="19">
        <v>1.7999999999999999E-2</v>
      </c>
      <c r="N1108" s="21">
        <v>91119.21</v>
      </c>
      <c r="O1108" s="21">
        <v>65314.29</v>
      </c>
      <c r="P1108" s="26">
        <v>25804.92</v>
      </c>
    </row>
    <row r="1109" spans="1:16" x14ac:dyDescent="0.3">
      <c r="A1109" s="25">
        <v>1108</v>
      </c>
      <c r="B1109" s="16" t="s">
        <v>57</v>
      </c>
      <c r="C1109" s="16">
        <v>2025</v>
      </c>
      <c r="D1109" s="16" t="s">
        <v>41</v>
      </c>
      <c r="E1109" s="16" t="s">
        <v>35</v>
      </c>
      <c r="F1109" s="16" t="s">
        <v>28</v>
      </c>
      <c r="G1109" s="16">
        <v>71</v>
      </c>
      <c r="H1109" s="16">
        <v>11023</v>
      </c>
      <c r="I1109" s="16">
        <v>488.6</v>
      </c>
      <c r="J1109" s="19">
        <v>0.78600000000000003</v>
      </c>
      <c r="K1109" s="16">
        <v>91</v>
      </c>
      <c r="L1109" s="19">
        <v>0.91100000000000003</v>
      </c>
      <c r="M1109" s="19">
        <v>5.0999999999999997E-2</v>
      </c>
      <c r="N1109" s="21">
        <v>133865.09</v>
      </c>
      <c r="O1109" s="21">
        <v>92804.26</v>
      </c>
      <c r="P1109" s="26">
        <v>41060.83</v>
      </c>
    </row>
    <row r="1110" spans="1:16" x14ac:dyDescent="0.3">
      <c r="A1110" s="25">
        <v>1109</v>
      </c>
      <c r="B1110" s="16" t="s">
        <v>57</v>
      </c>
      <c r="C1110" s="16">
        <v>2025</v>
      </c>
      <c r="D1110" s="16" t="s">
        <v>41</v>
      </c>
      <c r="E1110" s="16" t="s">
        <v>31</v>
      </c>
      <c r="F1110" s="16" t="s">
        <v>29</v>
      </c>
      <c r="G1110" s="16">
        <v>40</v>
      </c>
      <c r="H1110" s="16">
        <v>6699</v>
      </c>
      <c r="I1110" s="16">
        <v>283.5</v>
      </c>
      <c r="J1110" s="19">
        <v>0.71299999999999997</v>
      </c>
      <c r="K1110" s="16">
        <v>82.5</v>
      </c>
      <c r="L1110" s="19">
        <v>0.88100000000000001</v>
      </c>
      <c r="M1110" s="19">
        <v>3.5999999999999997E-2</v>
      </c>
      <c r="N1110" s="21">
        <v>68862.12</v>
      </c>
      <c r="O1110" s="21">
        <v>46496.26</v>
      </c>
      <c r="P1110" s="26">
        <v>22365.86</v>
      </c>
    </row>
    <row r="1111" spans="1:16" x14ac:dyDescent="0.3">
      <c r="A1111" s="25">
        <v>1110</v>
      </c>
      <c r="B1111" s="16" t="s">
        <v>57</v>
      </c>
      <c r="C1111" s="16">
        <v>2025</v>
      </c>
      <c r="D1111" s="16" t="s">
        <v>41</v>
      </c>
      <c r="E1111" s="16" t="s">
        <v>32</v>
      </c>
      <c r="F1111" s="16" t="s">
        <v>33</v>
      </c>
      <c r="G1111" s="16">
        <v>48</v>
      </c>
      <c r="H1111" s="16">
        <v>7624</v>
      </c>
      <c r="I1111" s="16">
        <v>406.6</v>
      </c>
      <c r="J1111" s="19">
        <v>0.71399999999999997</v>
      </c>
      <c r="K1111" s="16">
        <v>82.3</v>
      </c>
      <c r="L1111" s="19">
        <v>0.86099999999999999</v>
      </c>
      <c r="M1111" s="19">
        <v>2.1999999999999999E-2</v>
      </c>
      <c r="N1111" s="21">
        <v>98602.22</v>
      </c>
      <c r="O1111" s="21">
        <v>70462.61</v>
      </c>
      <c r="P1111" s="26">
        <v>28139.61</v>
      </c>
    </row>
    <row r="1112" spans="1:16" x14ac:dyDescent="0.3">
      <c r="A1112" s="25">
        <v>1111</v>
      </c>
      <c r="B1112" s="16" t="s">
        <v>57</v>
      </c>
      <c r="C1112" s="16">
        <v>2025</v>
      </c>
      <c r="D1112" s="16" t="s">
        <v>41</v>
      </c>
      <c r="E1112" s="16" t="s">
        <v>27</v>
      </c>
      <c r="F1112" s="16" t="s">
        <v>33</v>
      </c>
      <c r="G1112" s="16">
        <v>23</v>
      </c>
      <c r="H1112" s="16">
        <v>4700</v>
      </c>
      <c r="I1112" s="16">
        <v>543</v>
      </c>
      <c r="J1112" s="19">
        <v>0.74099999999999999</v>
      </c>
      <c r="K1112" s="16">
        <v>94.6</v>
      </c>
      <c r="L1112" s="19">
        <v>0.78800000000000003</v>
      </c>
      <c r="M1112" s="19">
        <v>1.4E-2</v>
      </c>
      <c r="N1112" s="21">
        <v>37775.47</v>
      </c>
      <c r="O1112" s="21">
        <v>25906.86</v>
      </c>
      <c r="P1112" s="26">
        <v>11868.61</v>
      </c>
    </row>
    <row r="1113" spans="1:16" x14ac:dyDescent="0.3">
      <c r="A1113" s="25">
        <v>1112</v>
      </c>
      <c r="B1113" s="16" t="s">
        <v>57</v>
      </c>
      <c r="C1113" s="16">
        <v>2025</v>
      </c>
      <c r="D1113" s="16" t="s">
        <v>41</v>
      </c>
      <c r="E1113" s="16" t="s">
        <v>30</v>
      </c>
      <c r="F1113" s="16" t="s">
        <v>33</v>
      </c>
      <c r="G1113" s="16">
        <v>49</v>
      </c>
      <c r="H1113" s="16">
        <v>8463</v>
      </c>
      <c r="I1113" s="16">
        <v>459.5</v>
      </c>
      <c r="J1113" s="19">
        <v>0.71299999999999997</v>
      </c>
      <c r="K1113" s="16">
        <v>88.4</v>
      </c>
      <c r="L1113" s="19">
        <v>0.81499999999999995</v>
      </c>
      <c r="M1113" s="19">
        <v>1.4E-2</v>
      </c>
      <c r="N1113" s="21">
        <v>89957.27</v>
      </c>
      <c r="O1113" s="21">
        <v>65781.5</v>
      </c>
      <c r="P1113" s="26">
        <v>24175.77</v>
      </c>
    </row>
    <row r="1114" spans="1:16" x14ac:dyDescent="0.3">
      <c r="A1114" s="25">
        <v>1113</v>
      </c>
      <c r="B1114" s="16" t="s">
        <v>57</v>
      </c>
      <c r="C1114" s="16">
        <v>2025</v>
      </c>
      <c r="D1114" s="16" t="s">
        <v>41</v>
      </c>
      <c r="E1114" s="16" t="s">
        <v>34</v>
      </c>
      <c r="F1114" s="16" t="s">
        <v>33</v>
      </c>
      <c r="G1114" s="16">
        <v>36</v>
      </c>
      <c r="H1114" s="16">
        <v>5223</v>
      </c>
      <c r="I1114" s="16">
        <v>468.6</v>
      </c>
      <c r="J1114" s="19">
        <v>0.83399999999999996</v>
      </c>
      <c r="K1114" s="16">
        <v>91.2</v>
      </c>
      <c r="L1114" s="19">
        <v>0.95299999999999996</v>
      </c>
      <c r="M1114" s="19">
        <v>2.7E-2</v>
      </c>
      <c r="N1114" s="21">
        <v>75977.33</v>
      </c>
      <c r="O1114" s="21">
        <v>58523.43</v>
      </c>
      <c r="P1114" s="26">
        <v>17453.900000000001</v>
      </c>
    </row>
    <row r="1115" spans="1:16" x14ac:dyDescent="0.3">
      <c r="A1115" s="25">
        <v>1114</v>
      </c>
      <c r="B1115" s="16" t="s">
        <v>57</v>
      </c>
      <c r="C1115" s="16">
        <v>2025</v>
      </c>
      <c r="D1115" s="16" t="s">
        <v>41</v>
      </c>
      <c r="E1115" s="16" t="s">
        <v>31</v>
      </c>
      <c r="F1115" s="16" t="s">
        <v>33</v>
      </c>
      <c r="G1115" s="16">
        <v>40</v>
      </c>
      <c r="H1115" s="16">
        <v>5663</v>
      </c>
      <c r="I1115" s="16">
        <v>508.9</v>
      </c>
      <c r="J1115" s="19">
        <v>0.81399999999999995</v>
      </c>
      <c r="K1115" s="16">
        <v>82.4</v>
      </c>
      <c r="L1115" s="19">
        <v>1</v>
      </c>
      <c r="M1115" s="19">
        <v>2.8000000000000001E-2</v>
      </c>
      <c r="N1115" s="21">
        <v>78420.179999999993</v>
      </c>
      <c r="O1115" s="21">
        <v>55680.42</v>
      </c>
      <c r="P1115" s="26">
        <v>22739.759999999998</v>
      </c>
    </row>
    <row r="1116" spans="1:16" x14ac:dyDescent="0.3">
      <c r="A1116" s="25">
        <v>1115</v>
      </c>
      <c r="B1116" s="16" t="s">
        <v>57</v>
      </c>
      <c r="C1116" s="16">
        <v>2025</v>
      </c>
      <c r="D1116" s="16" t="s">
        <v>41</v>
      </c>
      <c r="E1116" s="16" t="s">
        <v>34</v>
      </c>
      <c r="F1116" s="16" t="s">
        <v>36</v>
      </c>
      <c r="G1116" s="16">
        <v>25</v>
      </c>
      <c r="H1116" s="16">
        <v>4310</v>
      </c>
      <c r="I1116" s="16">
        <v>899.1</v>
      </c>
      <c r="J1116" s="19">
        <v>0.72099999999999997</v>
      </c>
      <c r="K1116" s="16">
        <v>96.4</v>
      </c>
      <c r="L1116" s="19">
        <v>0.93600000000000005</v>
      </c>
      <c r="M1116" s="19">
        <v>2.1000000000000001E-2</v>
      </c>
      <c r="N1116" s="21">
        <v>38933.129999999997</v>
      </c>
      <c r="O1116" s="21">
        <v>25835.31</v>
      </c>
      <c r="P1116" s="26">
        <v>13097.82</v>
      </c>
    </row>
    <row r="1117" spans="1:16" x14ac:dyDescent="0.3">
      <c r="A1117" s="25">
        <v>1116</v>
      </c>
      <c r="B1117" s="16" t="s">
        <v>57</v>
      </c>
      <c r="C1117" s="16">
        <v>2025</v>
      </c>
      <c r="D1117" s="16" t="s">
        <v>41</v>
      </c>
      <c r="E1117" s="16" t="s">
        <v>31</v>
      </c>
      <c r="F1117" s="16" t="s">
        <v>36</v>
      </c>
      <c r="G1117" s="16">
        <v>50</v>
      </c>
      <c r="H1117" s="16">
        <v>8482</v>
      </c>
      <c r="I1117" s="16">
        <v>941.3</v>
      </c>
      <c r="J1117" s="19">
        <v>0.621</v>
      </c>
      <c r="K1117" s="16">
        <v>75.599999999999994</v>
      </c>
      <c r="L1117" s="19">
        <v>0.92800000000000005</v>
      </c>
      <c r="M1117" s="19">
        <v>1.7999999999999999E-2</v>
      </c>
      <c r="N1117" s="21">
        <v>82766.94</v>
      </c>
      <c r="O1117" s="21">
        <v>51862.03</v>
      </c>
      <c r="P1117" s="26">
        <v>30904.91</v>
      </c>
    </row>
    <row r="1118" spans="1:16" x14ac:dyDescent="0.3">
      <c r="A1118" s="25">
        <v>1117</v>
      </c>
      <c r="B1118" s="16" t="s">
        <v>57</v>
      </c>
      <c r="C1118" s="16">
        <v>2025</v>
      </c>
      <c r="D1118" s="16" t="s">
        <v>41</v>
      </c>
      <c r="E1118" s="16" t="s">
        <v>35</v>
      </c>
      <c r="F1118" s="16" t="s">
        <v>36</v>
      </c>
      <c r="G1118" s="16">
        <v>69</v>
      </c>
      <c r="H1118" s="16">
        <v>12516</v>
      </c>
      <c r="I1118" s="16">
        <v>877.4</v>
      </c>
      <c r="J1118" s="19">
        <v>0.56000000000000005</v>
      </c>
      <c r="K1118" s="16">
        <v>85.8</v>
      </c>
      <c r="L1118" s="19">
        <v>0.876</v>
      </c>
      <c r="M1118" s="19">
        <v>0.03</v>
      </c>
      <c r="N1118" s="21">
        <v>104899.61</v>
      </c>
      <c r="O1118" s="21">
        <v>67699.66</v>
      </c>
      <c r="P1118" s="26">
        <v>37199.949999999997</v>
      </c>
    </row>
    <row r="1119" spans="1:16" x14ac:dyDescent="0.3">
      <c r="A1119" s="25">
        <v>1118</v>
      </c>
      <c r="B1119" s="16" t="s">
        <v>57</v>
      </c>
      <c r="C1119" s="16">
        <v>2025</v>
      </c>
      <c r="D1119" s="16" t="s">
        <v>41</v>
      </c>
      <c r="E1119" s="16" t="s">
        <v>32</v>
      </c>
      <c r="F1119" s="16" t="s">
        <v>37</v>
      </c>
      <c r="G1119" s="16">
        <v>59</v>
      </c>
      <c r="H1119" s="16">
        <v>12224</v>
      </c>
      <c r="I1119" s="16">
        <v>653.1</v>
      </c>
      <c r="J1119" s="19">
        <v>0.61199999999999999</v>
      </c>
      <c r="K1119" s="16">
        <v>83.7</v>
      </c>
      <c r="L1119" s="19">
        <v>0.92</v>
      </c>
      <c r="M1119" s="19">
        <v>0</v>
      </c>
      <c r="N1119" s="21">
        <v>100570.95</v>
      </c>
      <c r="O1119" s="21">
        <v>63705.49</v>
      </c>
      <c r="P1119" s="26">
        <v>36865.46</v>
      </c>
    </row>
    <row r="1120" spans="1:16" x14ac:dyDescent="0.3">
      <c r="A1120" s="25">
        <v>1119</v>
      </c>
      <c r="B1120" s="16" t="s">
        <v>57</v>
      </c>
      <c r="C1120" s="16">
        <v>2025</v>
      </c>
      <c r="D1120" s="16" t="s">
        <v>41</v>
      </c>
      <c r="E1120" s="16" t="s">
        <v>27</v>
      </c>
      <c r="F1120" s="16" t="s">
        <v>37</v>
      </c>
      <c r="G1120" s="16">
        <v>77</v>
      </c>
      <c r="H1120" s="16">
        <v>12922</v>
      </c>
      <c r="I1120" s="16">
        <v>676.3</v>
      </c>
      <c r="J1120" s="19">
        <v>0.628</v>
      </c>
      <c r="K1120" s="16">
        <v>82.2</v>
      </c>
      <c r="L1120" s="19">
        <v>0.88800000000000001</v>
      </c>
      <c r="M1120" s="19">
        <v>5.0000000000000001E-3</v>
      </c>
      <c r="N1120" s="21">
        <v>120568.59</v>
      </c>
      <c r="O1120" s="21">
        <v>76681.97</v>
      </c>
      <c r="P1120" s="26">
        <v>43886.62</v>
      </c>
    </row>
    <row r="1121" spans="1:16" x14ac:dyDescent="0.3">
      <c r="A1121" s="25">
        <v>1120</v>
      </c>
      <c r="B1121" s="16" t="s">
        <v>57</v>
      </c>
      <c r="C1121" s="16">
        <v>2025</v>
      </c>
      <c r="D1121" s="16" t="s">
        <v>41</v>
      </c>
      <c r="E1121" s="16" t="s">
        <v>30</v>
      </c>
      <c r="F1121" s="16" t="s">
        <v>37</v>
      </c>
      <c r="G1121" s="16">
        <v>50</v>
      </c>
      <c r="H1121" s="16">
        <v>8241</v>
      </c>
      <c r="I1121" s="16">
        <v>646.70000000000005</v>
      </c>
      <c r="J1121" s="19">
        <v>0.68500000000000005</v>
      </c>
      <c r="K1121" s="16">
        <v>84.2</v>
      </c>
      <c r="L1121" s="19">
        <v>0.89300000000000002</v>
      </c>
      <c r="M1121" s="19">
        <v>2.8000000000000001E-2</v>
      </c>
      <c r="N1121" s="21">
        <v>82529.42</v>
      </c>
      <c r="O1121" s="21">
        <v>52183.02</v>
      </c>
      <c r="P1121" s="26">
        <v>30346.400000000001</v>
      </c>
    </row>
    <row r="1122" spans="1:16" x14ac:dyDescent="0.3">
      <c r="A1122" s="25">
        <v>1121</v>
      </c>
      <c r="B1122" s="16" t="s">
        <v>57</v>
      </c>
      <c r="C1122" s="16">
        <v>2025</v>
      </c>
      <c r="D1122" s="16" t="s">
        <v>41</v>
      </c>
      <c r="E1122" s="16" t="s">
        <v>31</v>
      </c>
      <c r="F1122" s="16" t="s">
        <v>37</v>
      </c>
      <c r="G1122" s="16">
        <v>11</v>
      </c>
      <c r="H1122" s="16">
        <v>1750</v>
      </c>
      <c r="I1122" s="16">
        <v>646.9</v>
      </c>
      <c r="J1122" s="19">
        <v>0.65100000000000002</v>
      </c>
      <c r="K1122" s="16">
        <v>85.3</v>
      </c>
      <c r="L1122" s="19">
        <v>0.82899999999999996</v>
      </c>
      <c r="M1122" s="19">
        <v>0.01</v>
      </c>
      <c r="N1122" s="21">
        <v>16710.939999999999</v>
      </c>
      <c r="O1122" s="21">
        <v>12070.56</v>
      </c>
      <c r="P1122" s="26">
        <v>4640.38</v>
      </c>
    </row>
    <row r="1123" spans="1:16" x14ac:dyDescent="0.3">
      <c r="A1123" s="25">
        <v>1122</v>
      </c>
      <c r="B1123" s="16" t="s">
        <v>58</v>
      </c>
      <c r="C1123" s="16">
        <v>2025</v>
      </c>
      <c r="D1123" s="16" t="s">
        <v>26</v>
      </c>
      <c r="E1123" s="16" t="s">
        <v>27</v>
      </c>
      <c r="F1123" s="16" t="s">
        <v>28</v>
      </c>
      <c r="G1123" s="16">
        <v>17</v>
      </c>
      <c r="H1123" s="16">
        <v>2690</v>
      </c>
      <c r="I1123" s="16">
        <v>496.5</v>
      </c>
      <c r="J1123" s="19">
        <v>0.82</v>
      </c>
      <c r="K1123" s="16">
        <v>81.8</v>
      </c>
      <c r="L1123" s="19">
        <v>0.96499999999999997</v>
      </c>
      <c r="M1123" s="19">
        <v>2.3E-2</v>
      </c>
      <c r="N1123" s="21">
        <v>23596.84</v>
      </c>
      <c r="O1123" s="21">
        <v>17963.07</v>
      </c>
      <c r="P1123" s="26">
        <v>5633.77</v>
      </c>
    </row>
    <row r="1124" spans="1:16" x14ac:dyDescent="0.3">
      <c r="A1124" s="25">
        <v>1123</v>
      </c>
      <c r="B1124" s="16" t="s">
        <v>58</v>
      </c>
      <c r="C1124" s="16">
        <v>2025</v>
      </c>
      <c r="D1124" s="16" t="s">
        <v>26</v>
      </c>
      <c r="E1124" s="16" t="s">
        <v>31</v>
      </c>
      <c r="F1124" s="16" t="s">
        <v>28</v>
      </c>
      <c r="G1124" s="16">
        <v>56</v>
      </c>
      <c r="H1124" s="16">
        <v>8329</v>
      </c>
      <c r="I1124" s="16">
        <v>436.6</v>
      </c>
      <c r="J1124" s="19">
        <v>0.79500000000000004</v>
      </c>
      <c r="K1124" s="16">
        <v>84.5</v>
      </c>
      <c r="L1124" s="19">
        <v>0.98299999999999998</v>
      </c>
      <c r="M1124" s="19">
        <v>3.7999999999999999E-2</v>
      </c>
      <c r="N1124" s="21">
        <v>93948.75</v>
      </c>
      <c r="O1124" s="21">
        <v>58784.480000000003</v>
      </c>
      <c r="P1124" s="26">
        <v>35164.269999999997</v>
      </c>
    </row>
    <row r="1125" spans="1:16" x14ac:dyDescent="0.3">
      <c r="A1125" s="25">
        <v>1124</v>
      </c>
      <c r="B1125" s="16" t="s">
        <v>58</v>
      </c>
      <c r="C1125" s="16">
        <v>2025</v>
      </c>
      <c r="D1125" s="16" t="s">
        <v>26</v>
      </c>
      <c r="E1125" s="16" t="s">
        <v>32</v>
      </c>
      <c r="F1125" s="16" t="s">
        <v>29</v>
      </c>
      <c r="G1125" s="16">
        <v>39</v>
      </c>
      <c r="H1125" s="16">
        <v>5590</v>
      </c>
      <c r="I1125" s="16">
        <v>280.3</v>
      </c>
      <c r="J1125" s="19">
        <v>0.78100000000000003</v>
      </c>
      <c r="K1125" s="16">
        <v>77</v>
      </c>
      <c r="L1125" s="19">
        <v>0.877</v>
      </c>
      <c r="M1125" s="19">
        <v>3.6999999999999998E-2</v>
      </c>
      <c r="N1125" s="21">
        <v>52811.54</v>
      </c>
      <c r="O1125" s="21">
        <v>32975.4</v>
      </c>
      <c r="P1125" s="26">
        <v>19836.14</v>
      </c>
    </row>
    <row r="1126" spans="1:16" x14ac:dyDescent="0.3">
      <c r="A1126" s="25">
        <v>1125</v>
      </c>
      <c r="B1126" s="16" t="s">
        <v>58</v>
      </c>
      <c r="C1126" s="16">
        <v>2025</v>
      </c>
      <c r="D1126" s="16" t="s">
        <v>26</v>
      </c>
      <c r="E1126" s="16" t="s">
        <v>34</v>
      </c>
      <c r="F1126" s="16" t="s">
        <v>29</v>
      </c>
      <c r="G1126" s="16">
        <v>38</v>
      </c>
      <c r="H1126" s="16">
        <v>7340</v>
      </c>
      <c r="I1126" s="16">
        <v>339.4</v>
      </c>
      <c r="J1126" s="19">
        <v>0.69699999999999995</v>
      </c>
      <c r="K1126" s="16">
        <v>82.9</v>
      </c>
      <c r="L1126" s="19">
        <v>1</v>
      </c>
      <c r="M1126" s="19">
        <v>3.3000000000000002E-2</v>
      </c>
      <c r="N1126" s="21">
        <v>46136.91</v>
      </c>
      <c r="O1126" s="21">
        <v>30431.67</v>
      </c>
      <c r="P1126" s="26">
        <v>15705.24</v>
      </c>
    </row>
    <row r="1127" spans="1:16" x14ac:dyDescent="0.3">
      <c r="A1127" s="25">
        <v>1126</v>
      </c>
      <c r="B1127" s="16" t="s">
        <v>58</v>
      </c>
      <c r="C1127" s="16">
        <v>2025</v>
      </c>
      <c r="D1127" s="16" t="s">
        <v>26</v>
      </c>
      <c r="E1127" s="16" t="s">
        <v>31</v>
      </c>
      <c r="F1127" s="16" t="s">
        <v>29</v>
      </c>
      <c r="G1127" s="16">
        <v>35</v>
      </c>
      <c r="H1127" s="16">
        <v>4759</v>
      </c>
      <c r="I1127" s="16">
        <v>351</v>
      </c>
      <c r="J1127" s="19">
        <v>0.497</v>
      </c>
      <c r="K1127" s="16">
        <v>77</v>
      </c>
      <c r="L1127" s="19">
        <v>0.85</v>
      </c>
      <c r="M1127" s="19">
        <v>0</v>
      </c>
      <c r="N1127" s="21">
        <v>31487.25</v>
      </c>
      <c r="O1127" s="21">
        <v>19760.64</v>
      </c>
      <c r="P1127" s="26">
        <v>11726.61</v>
      </c>
    </row>
    <row r="1128" spans="1:16" x14ac:dyDescent="0.3">
      <c r="A1128" s="25">
        <v>1127</v>
      </c>
      <c r="B1128" s="16" t="s">
        <v>58</v>
      </c>
      <c r="C1128" s="16">
        <v>2025</v>
      </c>
      <c r="D1128" s="16" t="s">
        <v>26</v>
      </c>
      <c r="E1128" s="16" t="s">
        <v>32</v>
      </c>
      <c r="F1128" s="16" t="s">
        <v>33</v>
      </c>
      <c r="G1128" s="16">
        <v>40</v>
      </c>
      <c r="H1128" s="16">
        <v>6783</v>
      </c>
      <c r="I1128" s="16">
        <v>491.7</v>
      </c>
      <c r="J1128" s="19">
        <v>0.71199999999999997</v>
      </c>
      <c r="K1128" s="16">
        <v>85.2</v>
      </c>
      <c r="L1128" s="19">
        <v>0.84199999999999997</v>
      </c>
      <c r="M1128" s="19">
        <v>2.7E-2</v>
      </c>
      <c r="N1128" s="21">
        <v>57019.7</v>
      </c>
      <c r="O1128" s="21">
        <v>37993.760000000002</v>
      </c>
      <c r="P1128" s="26">
        <v>19025.939999999999</v>
      </c>
    </row>
    <row r="1129" spans="1:16" x14ac:dyDescent="0.3">
      <c r="A1129" s="25">
        <v>1128</v>
      </c>
      <c r="B1129" s="16" t="s">
        <v>58</v>
      </c>
      <c r="C1129" s="16">
        <v>2025</v>
      </c>
      <c r="D1129" s="16" t="s">
        <v>26</v>
      </c>
      <c r="E1129" s="16" t="s">
        <v>35</v>
      </c>
      <c r="F1129" s="16" t="s">
        <v>33</v>
      </c>
      <c r="G1129" s="16">
        <v>44</v>
      </c>
      <c r="H1129" s="16">
        <v>7047</v>
      </c>
      <c r="I1129" s="16">
        <v>448.3</v>
      </c>
      <c r="J1129" s="19">
        <v>0.84799999999999998</v>
      </c>
      <c r="K1129" s="16">
        <v>76.5</v>
      </c>
      <c r="L1129" s="19">
        <v>0.92300000000000004</v>
      </c>
      <c r="M1129" s="19">
        <v>2.9000000000000001E-2</v>
      </c>
      <c r="N1129" s="21">
        <v>61472.77</v>
      </c>
      <c r="O1129" s="21">
        <v>38835.49</v>
      </c>
      <c r="P1129" s="26">
        <v>22637.279999999999</v>
      </c>
    </row>
    <row r="1130" spans="1:16" x14ac:dyDescent="0.3">
      <c r="A1130" s="25">
        <v>1129</v>
      </c>
      <c r="B1130" s="16" t="s">
        <v>58</v>
      </c>
      <c r="C1130" s="16">
        <v>2025</v>
      </c>
      <c r="D1130" s="16" t="s">
        <v>26</v>
      </c>
      <c r="E1130" s="16" t="s">
        <v>31</v>
      </c>
      <c r="F1130" s="16" t="s">
        <v>36</v>
      </c>
      <c r="G1130" s="16">
        <v>84</v>
      </c>
      <c r="H1130" s="16">
        <v>14563</v>
      </c>
      <c r="I1130" s="16">
        <v>793.3</v>
      </c>
      <c r="J1130" s="19">
        <v>0.753</v>
      </c>
      <c r="K1130" s="16">
        <v>82.7</v>
      </c>
      <c r="L1130" s="19">
        <v>0.97799999999999998</v>
      </c>
      <c r="M1130" s="19">
        <v>1.4E-2</v>
      </c>
      <c r="N1130" s="21">
        <v>100664.47</v>
      </c>
      <c r="O1130" s="21">
        <v>74710.820000000007</v>
      </c>
      <c r="P1130" s="26">
        <v>25953.65</v>
      </c>
    </row>
    <row r="1131" spans="1:16" x14ac:dyDescent="0.3">
      <c r="A1131" s="25">
        <v>1130</v>
      </c>
      <c r="B1131" s="16" t="s">
        <v>58</v>
      </c>
      <c r="C1131" s="16">
        <v>2025</v>
      </c>
      <c r="D1131" s="16" t="s">
        <v>26</v>
      </c>
      <c r="E1131" s="16" t="s">
        <v>27</v>
      </c>
      <c r="F1131" s="16" t="s">
        <v>37</v>
      </c>
      <c r="G1131" s="16">
        <v>68</v>
      </c>
      <c r="H1131" s="16">
        <v>11034</v>
      </c>
      <c r="I1131" s="16">
        <v>661.7</v>
      </c>
      <c r="J1131" s="19">
        <v>0.63800000000000001</v>
      </c>
      <c r="K1131" s="16">
        <v>85.6</v>
      </c>
      <c r="L1131" s="19">
        <v>0.88600000000000001</v>
      </c>
      <c r="M1131" s="19">
        <v>2.9000000000000001E-2</v>
      </c>
      <c r="N1131" s="21">
        <v>73515.039999999994</v>
      </c>
      <c r="O1131" s="21">
        <v>50361.19</v>
      </c>
      <c r="P1131" s="26">
        <v>23153.85</v>
      </c>
    </row>
    <row r="1132" spans="1:16" x14ac:dyDescent="0.3">
      <c r="A1132" s="25">
        <v>1131</v>
      </c>
      <c r="B1132" s="16" t="s">
        <v>58</v>
      </c>
      <c r="C1132" s="16">
        <v>2025</v>
      </c>
      <c r="D1132" s="16" t="s">
        <v>26</v>
      </c>
      <c r="E1132" s="16" t="s">
        <v>30</v>
      </c>
      <c r="F1132" s="16" t="s">
        <v>37</v>
      </c>
      <c r="G1132" s="16">
        <v>66</v>
      </c>
      <c r="H1132" s="16">
        <v>9937</v>
      </c>
      <c r="I1132" s="16">
        <v>688.9</v>
      </c>
      <c r="J1132" s="19">
        <v>0.69199999999999995</v>
      </c>
      <c r="K1132" s="16">
        <v>75.2</v>
      </c>
      <c r="L1132" s="19">
        <v>0.76900000000000002</v>
      </c>
      <c r="M1132" s="19">
        <v>2.7E-2</v>
      </c>
      <c r="N1132" s="21">
        <v>71213.899999999994</v>
      </c>
      <c r="O1132" s="21">
        <v>50734.58</v>
      </c>
      <c r="P1132" s="26">
        <v>20479.32</v>
      </c>
    </row>
    <row r="1133" spans="1:16" x14ac:dyDescent="0.3">
      <c r="A1133" s="25">
        <v>1132</v>
      </c>
      <c r="B1133" s="16" t="s">
        <v>58</v>
      </c>
      <c r="C1133" s="16">
        <v>2025</v>
      </c>
      <c r="D1133" s="16" t="s">
        <v>26</v>
      </c>
      <c r="E1133" s="16" t="s">
        <v>35</v>
      </c>
      <c r="F1133" s="16" t="s">
        <v>37</v>
      </c>
      <c r="G1133" s="16">
        <v>23</v>
      </c>
      <c r="H1133" s="16">
        <v>4869</v>
      </c>
      <c r="I1133" s="16">
        <v>680.6</v>
      </c>
      <c r="J1133" s="19">
        <v>0.64900000000000002</v>
      </c>
      <c r="K1133" s="16">
        <v>84</v>
      </c>
      <c r="L1133" s="19">
        <v>0.81499999999999995</v>
      </c>
      <c r="M1133" s="19">
        <v>2.1999999999999999E-2</v>
      </c>
      <c r="N1133" s="21">
        <v>26691.72</v>
      </c>
      <c r="O1133" s="21">
        <v>19785.38</v>
      </c>
      <c r="P1133" s="26">
        <v>6906.34</v>
      </c>
    </row>
    <row r="1134" spans="1:16" x14ac:dyDescent="0.3">
      <c r="A1134" s="25">
        <v>1133</v>
      </c>
      <c r="B1134" s="16" t="s">
        <v>58</v>
      </c>
      <c r="C1134" s="16">
        <v>2025</v>
      </c>
      <c r="D1134" s="16" t="s">
        <v>38</v>
      </c>
      <c r="E1134" s="16" t="s">
        <v>32</v>
      </c>
      <c r="F1134" s="16" t="s">
        <v>28</v>
      </c>
      <c r="G1134" s="16">
        <v>57</v>
      </c>
      <c r="H1134" s="16">
        <v>8516</v>
      </c>
      <c r="I1134" s="16">
        <v>475.5</v>
      </c>
      <c r="J1134" s="19">
        <v>0.85</v>
      </c>
      <c r="K1134" s="16">
        <v>85.3</v>
      </c>
      <c r="L1134" s="19">
        <v>1</v>
      </c>
      <c r="M1134" s="19">
        <v>4.3999999999999997E-2</v>
      </c>
      <c r="N1134" s="21">
        <v>80096.83</v>
      </c>
      <c r="O1134" s="21">
        <v>53478.51</v>
      </c>
      <c r="P1134" s="26">
        <v>26618.32</v>
      </c>
    </row>
    <row r="1135" spans="1:16" x14ac:dyDescent="0.3">
      <c r="A1135" s="25">
        <v>1134</v>
      </c>
      <c r="B1135" s="16" t="s">
        <v>58</v>
      </c>
      <c r="C1135" s="16">
        <v>2025</v>
      </c>
      <c r="D1135" s="16" t="s">
        <v>38</v>
      </c>
      <c r="E1135" s="16" t="s">
        <v>30</v>
      </c>
      <c r="F1135" s="16" t="s">
        <v>28</v>
      </c>
      <c r="G1135" s="16">
        <v>47</v>
      </c>
      <c r="H1135" s="16">
        <v>7445</v>
      </c>
      <c r="I1135" s="16">
        <v>472.2</v>
      </c>
      <c r="J1135" s="19">
        <v>0.73699999999999999</v>
      </c>
      <c r="K1135" s="16">
        <v>82.7</v>
      </c>
      <c r="L1135" s="19">
        <v>1</v>
      </c>
      <c r="M1135" s="19">
        <v>8.9999999999999993E-3</v>
      </c>
      <c r="N1135" s="21">
        <v>54954.91</v>
      </c>
      <c r="O1135" s="21">
        <v>37203.5</v>
      </c>
      <c r="P1135" s="26">
        <v>17751.41</v>
      </c>
    </row>
    <row r="1136" spans="1:16" x14ac:dyDescent="0.3">
      <c r="A1136" s="25">
        <v>1135</v>
      </c>
      <c r="B1136" s="16" t="s">
        <v>58</v>
      </c>
      <c r="C1136" s="16">
        <v>2025</v>
      </c>
      <c r="D1136" s="16" t="s">
        <v>38</v>
      </c>
      <c r="E1136" s="16" t="s">
        <v>34</v>
      </c>
      <c r="F1136" s="16" t="s">
        <v>28</v>
      </c>
      <c r="G1136" s="16">
        <v>47</v>
      </c>
      <c r="H1136" s="16">
        <v>8281</v>
      </c>
      <c r="I1136" s="16">
        <v>486.9</v>
      </c>
      <c r="J1136" s="19">
        <v>0.79500000000000004</v>
      </c>
      <c r="K1136" s="16">
        <v>87.3</v>
      </c>
      <c r="L1136" s="19">
        <v>0.96099999999999997</v>
      </c>
      <c r="M1136" s="19">
        <v>3.5000000000000003E-2</v>
      </c>
      <c r="N1136" s="21">
        <v>63650.69</v>
      </c>
      <c r="O1136" s="21">
        <v>46568.22</v>
      </c>
      <c r="P1136" s="26">
        <v>17082.47</v>
      </c>
    </row>
    <row r="1137" spans="1:16" x14ac:dyDescent="0.3">
      <c r="A1137" s="25">
        <v>1136</v>
      </c>
      <c r="B1137" s="16" t="s">
        <v>58</v>
      </c>
      <c r="C1137" s="16">
        <v>2025</v>
      </c>
      <c r="D1137" s="16" t="s">
        <v>38</v>
      </c>
      <c r="E1137" s="16" t="s">
        <v>31</v>
      </c>
      <c r="F1137" s="16" t="s">
        <v>28</v>
      </c>
      <c r="G1137" s="16">
        <v>67</v>
      </c>
      <c r="H1137" s="16">
        <v>9835</v>
      </c>
      <c r="I1137" s="16">
        <v>413.3</v>
      </c>
      <c r="J1137" s="19">
        <v>0.79400000000000004</v>
      </c>
      <c r="K1137" s="16">
        <v>77.099999999999994</v>
      </c>
      <c r="L1137" s="19">
        <v>0.89900000000000002</v>
      </c>
      <c r="M1137" s="19">
        <v>4.8000000000000001E-2</v>
      </c>
      <c r="N1137" s="21">
        <v>100533.21</v>
      </c>
      <c r="O1137" s="21">
        <v>66003.19</v>
      </c>
      <c r="P1137" s="26">
        <v>34530.019999999997</v>
      </c>
    </row>
    <row r="1138" spans="1:16" x14ac:dyDescent="0.3">
      <c r="A1138" s="25">
        <v>1137</v>
      </c>
      <c r="B1138" s="16" t="s">
        <v>58</v>
      </c>
      <c r="C1138" s="16">
        <v>2025</v>
      </c>
      <c r="D1138" s="16" t="s">
        <v>38</v>
      </c>
      <c r="E1138" s="16" t="s">
        <v>32</v>
      </c>
      <c r="F1138" s="16" t="s">
        <v>29</v>
      </c>
      <c r="G1138" s="16">
        <v>52</v>
      </c>
      <c r="H1138" s="16">
        <v>7574</v>
      </c>
      <c r="I1138" s="16">
        <v>266</v>
      </c>
      <c r="J1138" s="19">
        <v>0.68</v>
      </c>
      <c r="K1138" s="16">
        <v>84.8</v>
      </c>
      <c r="L1138" s="19">
        <v>0.98299999999999998</v>
      </c>
      <c r="M1138" s="19">
        <v>2.4E-2</v>
      </c>
      <c r="N1138" s="21">
        <v>71146</v>
      </c>
      <c r="O1138" s="21">
        <v>52604.22</v>
      </c>
      <c r="P1138" s="26">
        <v>18541.78</v>
      </c>
    </row>
    <row r="1139" spans="1:16" x14ac:dyDescent="0.3">
      <c r="A1139" s="25">
        <v>1138</v>
      </c>
      <c r="B1139" s="16" t="s">
        <v>58</v>
      </c>
      <c r="C1139" s="16">
        <v>2025</v>
      </c>
      <c r="D1139" s="16" t="s">
        <v>38</v>
      </c>
      <c r="E1139" s="16" t="s">
        <v>30</v>
      </c>
      <c r="F1139" s="16" t="s">
        <v>29</v>
      </c>
      <c r="G1139" s="16">
        <v>54</v>
      </c>
      <c r="H1139" s="16">
        <v>7016</v>
      </c>
      <c r="I1139" s="16">
        <v>258.2</v>
      </c>
      <c r="J1139" s="19">
        <v>0.67700000000000005</v>
      </c>
      <c r="K1139" s="16">
        <v>80.900000000000006</v>
      </c>
      <c r="L1139" s="19">
        <v>1</v>
      </c>
      <c r="M1139" s="19">
        <v>3.5999999999999997E-2</v>
      </c>
      <c r="N1139" s="21">
        <v>76558.23</v>
      </c>
      <c r="O1139" s="21">
        <v>53899.15</v>
      </c>
      <c r="P1139" s="26">
        <v>22659.08</v>
      </c>
    </row>
    <row r="1140" spans="1:16" x14ac:dyDescent="0.3">
      <c r="A1140" s="25">
        <v>1139</v>
      </c>
      <c r="B1140" s="16" t="s">
        <v>58</v>
      </c>
      <c r="C1140" s="16">
        <v>2025</v>
      </c>
      <c r="D1140" s="16" t="s">
        <v>38</v>
      </c>
      <c r="E1140" s="16" t="s">
        <v>34</v>
      </c>
      <c r="F1140" s="16" t="s">
        <v>29</v>
      </c>
      <c r="G1140" s="16">
        <v>36</v>
      </c>
      <c r="H1140" s="16">
        <v>5718</v>
      </c>
      <c r="I1140" s="16">
        <v>267.8</v>
      </c>
      <c r="J1140" s="19">
        <v>0.74299999999999999</v>
      </c>
      <c r="K1140" s="16">
        <v>85</v>
      </c>
      <c r="L1140" s="19">
        <v>0.97399999999999998</v>
      </c>
      <c r="M1140" s="19">
        <v>3.6999999999999998E-2</v>
      </c>
      <c r="N1140" s="21">
        <v>35927.660000000003</v>
      </c>
      <c r="O1140" s="21">
        <v>23583.99</v>
      </c>
      <c r="P1140" s="26">
        <v>12343.67</v>
      </c>
    </row>
    <row r="1141" spans="1:16" x14ac:dyDescent="0.3">
      <c r="A1141" s="25">
        <v>1140</v>
      </c>
      <c r="B1141" s="16" t="s">
        <v>58</v>
      </c>
      <c r="C1141" s="16">
        <v>2025</v>
      </c>
      <c r="D1141" s="16" t="s">
        <v>38</v>
      </c>
      <c r="E1141" s="16" t="s">
        <v>31</v>
      </c>
      <c r="F1141" s="16" t="s">
        <v>29</v>
      </c>
      <c r="G1141" s="16">
        <v>49</v>
      </c>
      <c r="H1141" s="16">
        <v>7534</v>
      </c>
      <c r="I1141" s="16">
        <v>326.5</v>
      </c>
      <c r="J1141" s="19">
        <v>0.66400000000000003</v>
      </c>
      <c r="K1141" s="16">
        <v>87.7</v>
      </c>
      <c r="L1141" s="19">
        <v>0.94299999999999995</v>
      </c>
      <c r="M1141" s="19">
        <v>2.5999999999999999E-2</v>
      </c>
      <c r="N1141" s="21">
        <v>63710.41</v>
      </c>
      <c r="O1141" s="21">
        <v>43561.38</v>
      </c>
      <c r="P1141" s="26">
        <v>20149.03</v>
      </c>
    </row>
    <row r="1142" spans="1:16" x14ac:dyDescent="0.3">
      <c r="A1142" s="25">
        <v>1141</v>
      </c>
      <c r="B1142" s="16" t="s">
        <v>58</v>
      </c>
      <c r="C1142" s="16">
        <v>2025</v>
      </c>
      <c r="D1142" s="16" t="s">
        <v>38</v>
      </c>
      <c r="E1142" s="16" t="s">
        <v>32</v>
      </c>
      <c r="F1142" s="16" t="s">
        <v>33</v>
      </c>
      <c r="G1142" s="16">
        <v>47</v>
      </c>
      <c r="H1142" s="16">
        <v>7509</v>
      </c>
      <c r="I1142" s="16">
        <v>430.5</v>
      </c>
      <c r="J1142" s="19">
        <v>0.71699999999999997</v>
      </c>
      <c r="K1142" s="16">
        <v>93.5</v>
      </c>
      <c r="L1142" s="19">
        <v>0.86499999999999999</v>
      </c>
      <c r="M1142" s="19">
        <v>4.2000000000000003E-2</v>
      </c>
      <c r="N1142" s="21">
        <v>62939.38</v>
      </c>
      <c r="O1142" s="21">
        <v>45629.83</v>
      </c>
      <c r="P1142" s="26">
        <v>17309.55</v>
      </c>
    </row>
    <row r="1143" spans="1:16" x14ac:dyDescent="0.3">
      <c r="A1143" s="25">
        <v>1142</v>
      </c>
      <c r="B1143" s="16" t="s">
        <v>58</v>
      </c>
      <c r="C1143" s="16">
        <v>2025</v>
      </c>
      <c r="D1143" s="16" t="s">
        <v>38</v>
      </c>
      <c r="E1143" s="16" t="s">
        <v>27</v>
      </c>
      <c r="F1143" s="16" t="s">
        <v>33</v>
      </c>
      <c r="G1143" s="16">
        <v>62</v>
      </c>
      <c r="H1143" s="16">
        <v>10582</v>
      </c>
      <c r="I1143" s="16">
        <v>488.6</v>
      </c>
      <c r="J1143" s="19">
        <v>0.73</v>
      </c>
      <c r="K1143" s="16">
        <v>80</v>
      </c>
      <c r="L1143" s="19">
        <v>0.88700000000000001</v>
      </c>
      <c r="M1143" s="19">
        <v>3.9E-2</v>
      </c>
      <c r="N1143" s="21">
        <v>65356.02</v>
      </c>
      <c r="O1143" s="21">
        <v>49909.32</v>
      </c>
      <c r="P1143" s="26">
        <v>15446.7</v>
      </c>
    </row>
    <row r="1144" spans="1:16" x14ac:dyDescent="0.3">
      <c r="A1144" s="25">
        <v>1143</v>
      </c>
      <c r="B1144" s="16" t="s">
        <v>58</v>
      </c>
      <c r="C1144" s="16">
        <v>2025</v>
      </c>
      <c r="D1144" s="16" t="s">
        <v>38</v>
      </c>
      <c r="E1144" s="16" t="s">
        <v>34</v>
      </c>
      <c r="F1144" s="16" t="s">
        <v>33</v>
      </c>
      <c r="G1144" s="16">
        <v>64</v>
      </c>
      <c r="H1144" s="16">
        <v>9462</v>
      </c>
      <c r="I1144" s="16">
        <v>474.6</v>
      </c>
      <c r="J1144" s="19">
        <v>0.78700000000000003</v>
      </c>
      <c r="K1144" s="16">
        <v>91.9</v>
      </c>
      <c r="L1144" s="19">
        <v>1</v>
      </c>
      <c r="M1144" s="19">
        <v>2.7E-2</v>
      </c>
      <c r="N1144" s="21">
        <v>95766.3</v>
      </c>
      <c r="O1144" s="21">
        <v>68918.47</v>
      </c>
      <c r="P1144" s="26">
        <v>26847.83</v>
      </c>
    </row>
    <row r="1145" spans="1:16" x14ac:dyDescent="0.3">
      <c r="A1145" s="25">
        <v>1144</v>
      </c>
      <c r="B1145" s="16" t="s">
        <v>58</v>
      </c>
      <c r="C1145" s="16">
        <v>2025</v>
      </c>
      <c r="D1145" s="16" t="s">
        <v>38</v>
      </c>
      <c r="E1145" s="16" t="s">
        <v>35</v>
      </c>
      <c r="F1145" s="16" t="s">
        <v>33</v>
      </c>
      <c r="G1145" s="16">
        <v>63</v>
      </c>
      <c r="H1145" s="16">
        <v>8946</v>
      </c>
      <c r="I1145" s="16">
        <v>440.9</v>
      </c>
      <c r="J1145" s="19">
        <v>0.67100000000000004</v>
      </c>
      <c r="K1145" s="16">
        <v>91.4</v>
      </c>
      <c r="L1145" s="19">
        <v>0.96</v>
      </c>
      <c r="M1145" s="19">
        <v>2.4E-2</v>
      </c>
      <c r="N1145" s="21">
        <v>82357.06</v>
      </c>
      <c r="O1145" s="21">
        <v>55111.67</v>
      </c>
      <c r="P1145" s="26">
        <v>27245.39</v>
      </c>
    </row>
    <row r="1146" spans="1:16" x14ac:dyDescent="0.3">
      <c r="A1146" s="25">
        <v>1145</v>
      </c>
      <c r="B1146" s="16" t="s">
        <v>58</v>
      </c>
      <c r="C1146" s="16">
        <v>2025</v>
      </c>
      <c r="D1146" s="16" t="s">
        <v>38</v>
      </c>
      <c r="E1146" s="16" t="s">
        <v>32</v>
      </c>
      <c r="F1146" s="16" t="s">
        <v>36</v>
      </c>
      <c r="G1146" s="16">
        <v>39</v>
      </c>
      <c r="H1146" s="16">
        <v>6594</v>
      </c>
      <c r="I1146" s="16">
        <v>882.8</v>
      </c>
      <c r="J1146" s="19">
        <v>0.55000000000000004</v>
      </c>
      <c r="K1146" s="16">
        <v>78.099999999999994</v>
      </c>
      <c r="L1146" s="19">
        <v>0.83799999999999997</v>
      </c>
      <c r="M1146" s="19">
        <v>2.1000000000000001E-2</v>
      </c>
      <c r="N1146" s="21">
        <v>47848.65</v>
      </c>
      <c r="O1146" s="21">
        <v>35097.11</v>
      </c>
      <c r="P1146" s="26">
        <v>12751.54</v>
      </c>
    </row>
    <row r="1147" spans="1:16" x14ac:dyDescent="0.3">
      <c r="A1147" s="25">
        <v>1146</v>
      </c>
      <c r="B1147" s="16" t="s">
        <v>58</v>
      </c>
      <c r="C1147" s="16">
        <v>2025</v>
      </c>
      <c r="D1147" s="16" t="s">
        <v>38</v>
      </c>
      <c r="E1147" s="16" t="s">
        <v>27</v>
      </c>
      <c r="F1147" s="16" t="s">
        <v>36</v>
      </c>
      <c r="G1147" s="16">
        <v>82</v>
      </c>
      <c r="H1147" s="16">
        <v>15047</v>
      </c>
      <c r="I1147" s="16">
        <v>932.1</v>
      </c>
      <c r="J1147" s="19">
        <v>0.61</v>
      </c>
      <c r="K1147" s="16">
        <v>85.3</v>
      </c>
      <c r="L1147" s="19">
        <v>0.875</v>
      </c>
      <c r="M1147" s="19">
        <v>3.5000000000000003E-2</v>
      </c>
      <c r="N1147" s="21">
        <v>121455.71</v>
      </c>
      <c r="O1147" s="21">
        <v>76475.62</v>
      </c>
      <c r="P1147" s="26">
        <v>44980.09</v>
      </c>
    </row>
    <row r="1148" spans="1:16" x14ac:dyDescent="0.3">
      <c r="A1148" s="25">
        <v>1147</v>
      </c>
      <c r="B1148" s="16" t="s">
        <v>58</v>
      </c>
      <c r="C1148" s="16">
        <v>2025</v>
      </c>
      <c r="D1148" s="16" t="s">
        <v>38</v>
      </c>
      <c r="E1148" s="16" t="s">
        <v>30</v>
      </c>
      <c r="F1148" s="16" t="s">
        <v>36</v>
      </c>
      <c r="G1148" s="16">
        <v>50</v>
      </c>
      <c r="H1148" s="16">
        <v>6771</v>
      </c>
      <c r="I1148" s="16">
        <v>860.1</v>
      </c>
      <c r="J1148" s="19">
        <v>0.83699999999999997</v>
      </c>
      <c r="K1148" s="16">
        <v>82.9</v>
      </c>
      <c r="L1148" s="19">
        <v>0.86399999999999999</v>
      </c>
      <c r="M1148" s="19">
        <v>1.0999999999999999E-2</v>
      </c>
      <c r="N1148" s="21">
        <v>56347.26</v>
      </c>
      <c r="O1148" s="21">
        <v>38171.1</v>
      </c>
      <c r="P1148" s="26">
        <v>18176.16</v>
      </c>
    </row>
    <row r="1149" spans="1:16" x14ac:dyDescent="0.3">
      <c r="A1149" s="25">
        <v>1148</v>
      </c>
      <c r="B1149" s="16" t="s">
        <v>58</v>
      </c>
      <c r="C1149" s="16">
        <v>2025</v>
      </c>
      <c r="D1149" s="16" t="s">
        <v>38</v>
      </c>
      <c r="E1149" s="16" t="s">
        <v>34</v>
      </c>
      <c r="F1149" s="16" t="s">
        <v>36</v>
      </c>
      <c r="G1149" s="16">
        <v>26</v>
      </c>
      <c r="H1149" s="16">
        <v>4162</v>
      </c>
      <c r="I1149" s="16">
        <v>944.4</v>
      </c>
      <c r="J1149" s="19">
        <v>0.69599999999999995</v>
      </c>
      <c r="K1149" s="16">
        <v>78.7</v>
      </c>
      <c r="L1149" s="19">
        <v>0.872</v>
      </c>
      <c r="M1149" s="19">
        <v>3.4000000000000002E-2</v>
      </c>
      <c r="N1149" s="21">
        <v>39455.980000000003</v>
      </c>
      <c r="O1149" s="21">
        <v>26317.47</v>
      </c>
      <c r="P1149" s="26">
        <v>13138.51</v>
      </c>
    </row>
    <row r="1150" spans="1:16" x14ac:dyDescent="0.3">
      <c r="A1150" s="25">
        <v>1149</v>
      </c>
      <c r="B1150" s="16" t="s">
        <v>58</v>
      </c>
      <c r="C1150" s="16">
        <v>2025</v>
      </c>
      <c r="D1150" s="16" t="s">
        <v>38</v>
      </c>
      <c r="E1150" s="16" t="s">
        <v>31</v>
      </c>
      <c r="F1150" s="16" t="s">
        <v>36</v>
      </c>
      <c r="G1150" s="16">
        <v>62</v>
      </c>
      <c r="H1150" s="16">
        <v>10256</v>
      </c>
      <c r="I1150" s="16">
        <v>954.7</v>
      </c>
      <c r="J1150" s="19">
        <v>0.74399999999999999</v>
      </c>
      <c r="K1150" s="16">
        <v>87.7</v>
      </c>
      <c r="L1150" s="19">
        <v>0.90100000000000002</v>
      </c>
      <c r="M1150" s="19">
        <v>4.4999999999999998E-2</v>
      </c>
      <c r="N1150" s="21">
        <v>76450.44</v>
      </c>
      <c r="O1150" s="21">
        <v>48407.91</v>
      </c>
      <c r="P1150" s="26">
        <v>28042.53</v>
      </c>
    </row>
    <row r="1151" spans="1:16" x14ac:dyDescent="0.3">
      <c r="A1151" s="25">
        <v>1150</v>
      </c>
      <c r="B1151" s="16" t="s">
        <v>58</v>
      </c>
      <c r="C1151" s="16">
        <v>2025</v>
      </c>
      <c r="D1151" s="16" t="s">
        <v>38</v>
      </c>
      <c r="E1151" s="16" t="s">
        <v>35</v>
      </c>
      <c r="F1151" s="16" t="s">
        <v>36</v>
      </c>
      <c r="G1151" s="16">
        <v>59</v>
      </c>
      <c r="H1151" s="16">
        <v>9513</v>
      </c>
      <c r="I1151" s="16">
        <v>916.1</v>
      </c>
      <c r="J1151" s="19">
        <v>0.628</v>
      </c>
      <c r="K1151" s="16">
        <v>87.5</v>
      </c>
      <c r="L1151" s="19">
        <v>0.95799999999999996</v>
      </c>
      <c r="M1151" s="19">
        <v>1.9E-2</v>
      </c>
      <c r="N1151" s="21">
        <v>81744.11</v>
      </c>
      <c r="O1151" s="21">
        <v>61341.75</v>
      </c>
      <c r="P1151" s="26">
        <v>20402.36</v>
      </c>
    </row>
    <row r="1152" spans="1:16" x14ac:dyDescent="0.3">
      <c r="A1152" s="25">
        <v>1151</v>
      </c>
      <c r="B1152" s="16" t="s">
        <v>58</v>
      </c>
      <c r="C1152" s="16">
        <v>2025</v>
      </c>
      <c r="D1152" s="16" t="s">
        <v>38</v>
      </c>
      <c r="E1152" s="16" t="s">
        <v>32</v>
      </c>
      <c r="F1152" s="16" t="s">
        <v>37</v>
      </c>
      <c r="G1152" s="16">
        <v>45</v>
      </c>
      <c r="H1152" s="16">
        <v>6657</v>
      </c>
      <c r="I1152" s="16">
        <v>659.4</v>
      </c>
      <c r="J1152" s="19">
        <v>0.79900000000000004</v>
      </c>
      <c r="K1152" s="16">
        <v>83.1</v>
      </c>
      <c r="L1152" s="19">
        <v>0.79700000000000004</v>
      </c>
      <c r="M1152" s="19">
        <v>1.9E-2</v>
      </c>
      <c r="N1152" s="21">
        <v>52477.15</v>
      </c>
      <c r="O1152" s="21">
        <v>39334.800000000003</v>
      </c>
      <c r="P1152" s="26">
        <v>13142.35</v>
      </c>
    </row>
    <row r="1153" spans="1:16" x14ac:dyDescent="0.3">
      <c r="A1153" s="25">
        <v>1152</v>
      </c>
      <c r="B1153" s="16" t="s">
        <v>58</v>
      </c>
      <c r="C1153" s="16">
        <v>2025</v>
      </c>
      <c r="D1153" s="16" t="s">
        <v>38</v>
      </c>
      <c r="E1153" s="16" t="s">
        <v>31</v>
      </c>
      <c r="F1153" s="16" t="s">
        <v>37</v>
      </c>
      <c r="G1153" s="16">
        <v>50</v>
      </c>
      <c r="H1153" s="16">
        <v>8127</v>
      </c>
      <c r="I1153" s="16">
        <v>682.3</v>
      </c>
      <c r="J1153" s="19">
        <v>0.67</v>
      </c>
      <c r="K1153" s="16">
        <v>86.7</v>
      </c>
      <c r="L1153" s="19">
        <v>0.86399999999999999</v>
      </c>
      <c r="M1153" s="19">
        <v>3.5999999999999997E-2</v>
      </c>
      <c r="N1153" s="21">
        <v>75647.64</v>
      </c>
      <c r="O1153" s="21">
        <v>52695.57</v>
      </c>
      <c r="P1153" s="26">
        <v>22952.07</v>
      </c>
    </row>
    <row r="1154" spans="1:16" x14ac:dyDescent="0.3">
      <c r="A1154" s="25">
        <v>1153</v>
      </c>
      <c r="B1154" s="16" t="s">
        <v>58</v>
      </c>
      <c r="C1154" s="16">
        <v>2025</v>
      </c>
      <c r="D1154" s="16" t="s">
        <v>39</v>
      </c>
      <c r="E1154" s="16" t="s">
        <v>27</v>
      </c>
      <c r="F1154" s="16" t="s">
        <v>28</v>
      </c>
      <c r="G1154" s="16">
        <v>54</v>
      </c>
      <c r="H1154" s="16">
        <v>9226</v>
      </c>
      <c r="I1154" s="16">
        <v>385.6</v>
      </c>
      <c r="J1154" s="19">
        <v>0.77600000000000002</v>
      </c>
      <c r="K1154" s="16">
        <v>80.2</v>
      </c>
      <c r="L1154" s="19">
        <v>1</v>
      </c>
      <c r="M1154" s="19">
        <v>2.4E-2</v>
      </c>
      <c r="N1154" s="21">
        <v>74418.39</v>
      </c>
      <c r="O1154" s="21">
        <v>46216.67</v>
      </c>
      <c r="P1154" s="26">
        <v>28201.72</v>
      </c>
    </row>
    <row r="1155" spans="1:16" x14ac:dyDescent="0.3">
      <c r="A1155" s="25">
        <v>1154</v>
      </c>
      <c r="B1155" s="16" t="s">
        <v>58</v>
      </c>
      <c r="C1155" s="16">
        <v>2025</v>
      </c>
      <c r="D1155" s="16" t="s">
        <v>39</v>
      </c>
      <c r="E1155" s="16" t="s">
        <v>30</v>
      </c>
      <c r="F1155" s="16" t="s">
        <v>28</v>
      </c>
      <c r="G1155" s="16">
        <v>66</v>
      </c>
      <c r="H1155" s="16">
        <v>10041</v>
      </c>
      <c r="I1155" s="16">
        <v>376.5</v>
      </c>
      <c r="J1155" s="19">
        <v>0.78600000000000003</v>
      </c>
      <c r="K1155" s="16">
        <v>84.2</v>
      </c>
      <c r="L1155" s="19">
        <v>0.99399999999999999</v>
      </c>
      <c r="M1155" s="19">
        <v>3.9E-2</v>
      </c>
      <c r="N1155" s="21">
        <v>143684.19</v>
      </c>
      <c r="O1155" s="21">
        <v>91095.31</v>
      </c>
      <c r="P1155" s="26">
        <v>52588.88</v>
      </c>
    </row>
    <row r="1156" spans="1:16" x14ac:dyDescent="0.3">
      <c r="A1156" s="25">
        <v>1155</v>
      </c>
      <c r="B1156" s="16" t="s">
        <v>58</v>
      </c>
      <c r="C1156" s="16">
        <v>2025</v>
      </c>
      <c r="D1156" s="16" t="s">
        <v>39</v>
      </c>
      <c r="E1156" s="16" t="s">
        <v>34</v>
      </c>
      <c r="F1156" s="16" t="s">
        <v>28</v>
      </c>
      <c r="G1156" s="16">
        <v>56</v>
      </c>
      <c r="H1156" s="16">
        <v>8661</v>
      </c>
      <c r="I1156" s="16">
        <v>457</v>
      </c>
      <c r="J1156" s="19">
        <v>0.70199999999999996</v>
      </c>
      <c r="K1156" s="16">
        <v>92.8</v>
      </c>
      <c r="L1156" s="19">
        <v>0.79900000000000004</v>
      </c>
      <c r="M1156" s="19">
        <v>3.9E-2</v>
      </c>
      <c r="N1156" s="21">
        <v>72494.39</v>
      </c>
      <c r="O1156" s="21">
        <v>45509.47</v>
      </c>
      <c r="P1156" s="26">
        <v>26984.92</v>
      </c>
    </row>
    <row r="1157" spans="1:16" x14ac:dyDescent="0.3">
      <c r="A1157" s="25">
        <v>1156</v>
      </c>
      <c r="B1157" s="16" t="s">
        <v>58</v>
      </c>
      <c r="C1157" s="16">
        <v>2025</v>
      </c>
      <c r="D1157" s="16" t="s">
        <v>39</v>
      </c>
      <c r="E1157" s="16" t="s">
        <v>31</v>
      </c>
      <c r="F1157" s="16" t="s">
        <v>28</v>
      </c>
      <c r="G1157" s="16">
        <v>62</v>
      </c>
      <c r="H1157" s="16">
        <v>11378</v>
      </c>
      <c r="I1157" s="16">
        <v>369.1</v>
      </c>
      <c r="J1157" s="19">
        <v>0.82299999999999995</v>
      </c>
      <c r="K1157" s="16">
        <v>71.3</v>
      </c>
      <c r="L1157" s="19">
        <v>0.96699999999999997</v>
      </c>
      <c r="M1157" s="19">
        <v>2.9000000000000001E-2</v>
      </c>
      <c r="N1157" s="21">
        <v>92059.3</v>
      </c>
      <c r="O1157" s="21">
        <v>70609.100000000006</v>
      </c>
      <c r="P1157" s="26">
        <v>21450.2</v>
      </c>
    </row>
    <row r="1158" spans="1:16" x14ac:dyDescent="0.3">
      <c r="A1158" s="25">
        <v>1157</v>
      </c>
      <c r="B1158" s="16" t="s">
        <v>58</v>
      </c>
      <c r="C1158" s="16">
        <v>2025</v>
      </c>
      <c r="D1158" s="16" t="s">
        <v>39</v>
      </c>
      <c r="E1158" s="16" t="s">
        <v>35</v>
      </c>
      <c r="F1158" s="16" t="s">
        <v>28</v>
      </c>
      <c r="G1158" s="16">
        <v>24</v>
      </c>
      <c r="H1158" s="16">
        <v>3910</v>
      </c>
      <c r="I1158" s="16">
        <v>395.8</v>
      </c>
      <c r="J1158" s="19">
        <v>0.81799999999999995</v>
      </c>
      <c r="K1158" s="16">
        <v>76.599999999999994</v>
      </c>
      <c r="L1158" s="19">
        <v>0.77900000000000003</v>
      </c>
      <c r="M1158" s="19">
        <v>2.1999999999999999E-2</v>
      </c>
      <c r="N1158" s="21">
        <v>39251</v>
      </c>
      <c r="O1158" s="21">
        <v>25303.74</v>
      </c>
      <c r="P1158" s="26">
        <v>13947.26</v>
      </c>
    </row>
    <row r="1159" spans="1:16" x14ac:dyDescent="0.3">
      <c r="A1159" s="25">
        <v>1158</v>
      </c>
      <c r="B1159" s="16" t="s">
        <v>58</v>
      </c>
      <c r="C1159" s="16">
        <v>2025</v>
      </c>
      <c r="D1159" s="16" t="s">
        <v>39</v>
      </c>
      <c r="E1159" s="16" t="s">
        <v>27</v>
      </c>
      <c r="F1159" s="16" t="s">
        <v>29</v>
      </c>
      <c r="G1159" s="16">
        <v>66</v>
      </c>
      <c r="H1159" s="16">
        <v>10807</v>
      </c>
      <c r="I1159" s="16">
        <v>281</v>
      </c>
      <c r="J1159" s="19">
        <v>0.624</v>
      </c>
      <c r="K1159" s="16">
        <v>72.2</v>
      </c>
      <c r="L1159" s="19">
        <v>0.96699999999999997</v>
      </c>
      <c r="M1159" s="19">
        <v>5.3999999999999999E-2</v>
      </c>
      <c r="N1159" s="21">
        <v>94387.73</v>
      </c>
      <c r="O1159" s="21">
        <v>69866.66</v>
      </c>
      <c r="P1159" s="26">
        <v>24521.07</v>
      </c>
    </row>
    <row r="1160" spans="1:16" x14ac:dyDescent="0.3">
      <c r="A1160" s="25">
        <v>1159</v>
      </c>
      <c r="B1160" s="16" t="s">
        <v>58</v>
      </c>
      <c r="C1160" s="16">
        <v>2025</v>
      </c>
      <c r="D1160" s="16" t="s">
        <v>39</v>
      </c>
      <c r="E1160" s="16" t="s">
        <v>30</v>
      </c>
      <c r="F1160" s="16" t="s">
        <v>29</v>
      </c>
      <c r="G1160" s="16">
        <v>27</v>
      </c>
      <c r="H1160" s="16">
        <v>4076</v>
      </c>
      <c r="I1160" s="16">
        <v>261</v>
      </c>
      <c r="J1160" s="19">
        <v>0.65800000000000003</v>
      </c>
      <c r="K1160" s="16">
        <v>73.400000000000006</v>
      </c>
      <c r="L1160" s="19">
        <v>0.84599999999999997</v>
      </c>
      <c r="M1160" s="19">
        <v>2.3E-2</v>
      </c>
      <c r="N1160" s="21">
        <v>35766.18</v>
      </c>
      <c r="O1160" s="21">
        <v>22357.25</v>
      </c>
      <c r="P1160" s="26">
        <v>13408.93</v>
      </c>
    </row>
    <row r="1161" spans="1:16" x14ac:dyDescent="0.3">
      <c r="A1161" s="25">
        <v>1160</v>
      </c>
      <c r="B1161" s="16" t="s">
        <v>58</v>
      </c>
      <c r="C1161" s="16">
        <v>2025</v>
      </c>
      <c r="D1161" s="16" t="s">
        <v>39</v>
      </c>
      <c r="E1161" s="16" t="s">
        <v>34</v>
      </c>
      <c r="F1161" s="16" t="s">
        <v>29</v>
      </c>
      <c r="G1161" s="16">
        <v>74</v>
      </c>
      <c r="H1161" s="16">
        <v>13040</v>
      </c>
      <c r="I1161" s="16">
        <v>268.7</v>
      </c>
      <c r="J1161" s="19">
        <v>0.67</v>
      </c>
      <c r="K1161" s="16">
        <v>74.5</v>
      </c>
      <c r="L1161" s="19">
        <v>0.92900000000000005</v>
      </c>
      <c r="M1161" s="19">
        <v>2.5999999999999999E-2</v>
      </c>
      <c r="N1161" s="21">
        <v>111909.05</v>
      </c>
      <c r="O1161" s="21">
        <v>72992.039999999994</v>
      </c>
      <c r="P1161" s="26">
        <v>38917.01</v>
      </c>
    </row>
    <row r="1162" spans="1:16" x14ac:dyDescent="0.3">
      <c r="A1162" s="25">
        <v>1161</v>
      </c>
      <c r="B1162" s="16" t="s">
        <v>58</v>
      </c>
      <c r="C1162" s="16">
        <v>2025</v>
      </c>
      <c r="D1162" s="16" t="s">
        <v>39</v>
      </c>
      <c r="E1162" s="16" t="s">
        <v>35</v>
      </c>
      <c r="F1162" s="16" t="s">
        <v>29</v>
      </c>
      <c r="G1162" s="16">
        <v>70</v>
      </c>
      <c r="H1162" s="16">
        <v>11766</v>
      </c>
      <c r="I1162" s="16">
        <v>266.5</v>
      </c>
      <c r="J1162" s="19">
        <v>0.60899999999999999</v>
      </c>
      <c r="K1162" s="16">
        <v>81.400000000000006</v>
      </c>
      <c r="L1162" s="19">
        <v>0.93300000000000005</v>
      </c>
      <c r="M1162" s="19">
        <v>0.04</v>
      </c>
      <c r="N1162" s="21">
        <v>114545.54</v>
      </c>
      <c r="O1162" s="21">
        <v>81347.100000000006</v>
      </c>
      <c r="P1162" s="26">
        <v>33198.44</v>
      </c>
    </row>
    <row r="1163" spans="1:16" x14ac:dyDescent="0.3">
      <c r="A1163" s="25">
        <v>1162</v>
      </c>
      <c r="B1163" s="16" t="s">
        <v>58</v>
      </c>
      <c r="C1163" s="16">
        <v>2025</v>
      </c>
      <c r="D1163" s="16" t="s">
        <v>39</v>
      </c>
      <c r="E1163" s="16" t="s">
        <v>32</v>
      </c>
      <c r="F1163" s="16" t="s">
        <v>33</v>
      </c>
      <c r="G1163" s="16">
        <v>35</v>
      </c>
      <c r="H1163" s="16">
        <v>4683</v>
      </c>
      <c r="I1163" s="16">
        <v>464.5</v>
      </c>
      <c r="J1163" s="19">
        <v>0.78500000000000003</v>
      </c>
      <c r="K1163" s="16">
        <v>92.1</v>
      </c>
      <c r="L1163" s="19">
        <v>0.97</v>
      </c>
      <c r="M1163" s="19">
        <v>3.4000000000000002E-2</v>
      </c>
      <c r="N1163" s="21">
        <v>52497.04</v>
      </c>
      <c r="O1163" s="21">
        <v>39314.01</v>
      </c>
      <c r="P1163" s="26">
        <v>13183.03</v>
      </c>
    </row>
    <row r="1164" spans="1:16" x14ac:dyDescent="0.3">
      <c r="A1164" s="25">
        <v>1163</v>
      </c>
      <c r="B1164" s="16" t="s">
        <v>58</v>
      </c>
      <c r="C1164" s="16">
        <v>2025</v>
      </c>
      <c r="D1164" s="16" t="s">
        <v>39</v>
      </c>
      <c r="E1164" s="16" t="s">
        <v>27</v>
      </c>
      <c r="F1164" s="16" t="s">
        <v>33</v>
      </c>
      <c r="G1164" s="16">
        <v>16</v>
      </c>
      <c r="H1164" s="16">
        <v>2427</v>
      </c>
      <c r="I1164" s="16">
        <v>518</v>
      </c>
      <c r="J1164" s="19">
        <v>0.75600000000000001</v>
      </c>
      <c r="K1164" s="16">
        <v>77</v>
      </c>
      <c r="L1164" s="19">
        <v>0.878</v>
      </c>
      <c r="M1164" s="19">
        <v>6.0000000000000001E-3</v>
      </c>
      <c r="N1164" s="21">
        <v>23936.03</v>
      </c>
      <c r="O1164" s="21">
        <v>17005.63</v>
      </c>
      <c r="P1164" s="26">
        <v>6930.4</v>
      </c>
    </row>
    <row r="1165" spans="1:16" x14ac:dyDescent="0.3">
      <c r="A1165" s="25">
        <v>1164</v>
      </c>
      <c r="B1165" s="16" t="s">
        <v>58</v>
      </c>
      <c r="C1165" s="16">
        <v>2025</v>
      </c>
      <c r="D1165" s="16" t="s">
        <v>39</v>
      </c>
      <c r="E1165" s="16" t="s">
        <v>34</v>
      </c>
      <c r="F1165" s="16" t="s">
        <v>33</v>
      </c>
      <c r="G1165" s="16">
        <v>45</v>
      </c>
      <c r="H1165" s="16">
        <v>8656</v>
      </c>
      <c r="I1165" s="16">
        <v>516.5</v>
      </c>
      <c r="J1165" s="19">
        <v>0.73</v>
      </c>
      <c r="K1165" s="16">
        <v>78</v>
      </c>
      <c r="L1165" s="19">
        <v>0.871</v>
      </c>
      <c r="M1165" s="19">
        <v>2.1999999999999999E-2</v>
      </c>
      <c r="N1165" s="21">
        <v>70882.210000000006</v>
      </c>
      <c r="O1165" s="21">
        <v>45572.11</v>
      </c>
      <c r="P1165" s="26">
        <v>25310.1</v>
      </c>
    </row>
    <row r="1166" spans="1:16" x14ac:dyDescent="0.3">
      <c r="A1166" s="25">
        <v>1165</v>
      </c>
      <c r="B1166" s="16" t="s">
        <v>58</v>
      </c>
      <c r="C1166" s="16">
        <v>2025</v>
      </c>
      <c r="D1166" s="16" t="s">
        <v>39</v>
      </c>
      <c r="E1166" s="16" t="s">
        <v>32</v>
      </c>
      <c r="F1166" s="16" t="s">
        <v>36</v>
      </c>
      <c r="G1166" s="16">
        <v>62</v>
      </c>
      <c r="H1166" s="16">
        <v>8793</v>
      </c>
      <c r="I1166" s="16">
        <v>875.5</v>
      </c>
      <c r="J1166" s="19">
        <v>0.61299999999999999</v>
      </c>
      <c r="K1166" s="16">
        <v>74.599999999999994</v>
      </c>
      <c r="L1166" s="19">
        <v>0.89800000000000002</v>
      </c>
      <c r="M1166" s="19">
        <v>2.1000000000000001E-2</v>
      </c>
      <c r="N1166" s="21">
        <v>69977.039999999994</v>
      </c>
      <c r="O1166" s="21">
        <v>47625.71</v>
      </c>
      <c r="P1166" s="26">
        <v>22351.33</v>
      </c>
    </row>
    <row r="1167" spans="1:16" x14ac:dyDescent="0.3">
      <c r="A1167" s="25">
        <v>1166</v>
      </c>
      <c r="B1167" s="16" t="s">
        <v>58</v>
      </c>
      <c r="C1167" s="16">
        <v>2025</v>
      </c>
      <c r="D1167" s="16" t="s">
        <v>39</v>
      </c>
      <c r="E1167" s="16" t="s">
        <v>27</v>
      </c>
      <c r="F1167" s="16" t="s">
        <v>36</v>
      </c>
      <c r="G1167" s="16">
        <v>52</v>
      </c>
      <c r="H1167" s="16">
        <v>9693</v>
      </c>
      <c r="I1167" s="16">
        <v>903.7</v>
      </c>
      <c r="J1167" s="19">
        <v>0.67800000000000005</v>
      </c>
      <c r="K1167" s="16">
        <v>82.7</v>
      </c>
      <c r="L1167" s="19">
        <v>0.84</v>
      </c>
      <c r="M1167" s="19">
        <v>2.4E-2</v>
      </c>
      <c r="N1167" s="21">
        <v>78813.539999999994</v>
      </c>
      <c r="O1167" s="21">
        <v>59196.49</v>
      </c>
      <c r="P1167" s="26">
        <v>19617.05</v>
      </c>
    </row>
    <row r="1168" spans="1:16" x14ac:dyDescent="0.3">
      <c r="A1168" s="25">
        <v>1167</v>
      </c>
      <c r="B1168" s="16" t="s">
        <v>58</v>
      </c>
      <c r="C1168" s="16">
        <v>2025</v>
      </c>
      <c r="D1168" s="16" t="s">
        <v>39</v>
      </c>
      <c r="E1168" s="16" t="s">
        <v>30</v>
      </c>
      <c r="F1168" s="16" t="s">
        <v>36</v>
      </c>
      <c r="G1168" s="16">
        <v>39</v>
      </c>
      <c r="H1168" s="16">
        <v>6970</v>
      </c>
      <c r="I1168" s="16">
        <v>931.9</v>
      </c>
      <c r="J1168" s="19">
        <v>0.71</v>
      </c>
      <c r="K1168" s="16">
        <v>86.9</v>
      </c>
      <c r="L1168" s="19">
        <v>0.94699999999999995</v>
      </c>
      <c r="M1168" s="19">
        <v>2.5000000000000001E-2</v>
      </c>
      <c r="N1168" s="21">
        <v>62306.66</v>
      </c>
      <c r="O1168" s="21">
        <v>46495.49</v>
      </c>
      <c r="P1168" s="26">
        <v>15811.17</v>
      </c>
    </row>
    <row r="1169" spans="1:16" x14ac:dyDescent="0.3">
      <c r="A1169" s="25">
        <v>1168</v>
      </c>
      <c r="B1169" s="16" t="s">
        <v>58</v>
      </c>
      <c r="C1169" s="16">
        <v>2025</v>
      </c>
      <c r="D1169" s="16" t="s">
        <v>39</v>
      </c>
      <c r="E1169" s="16" t="s">
        <v>34</v>
      </c>
      <c r="F1169" s="16" t="s">
        <v>36</v>
      </c>
      <c r="G1169" s="16">
        <v>44</v>
      </c>
      <c r="H1169" s="16">
        <v>6661</v>
      </c>
      <c r="I1169" s="16">
        <v>913.2</v>
      </c>
      <c r="J1169" s="19">
        <v>0.81799999999999995</v>
      </c>
      <c r="K1169" s="16">
        <v>80.8</v>
      </c>
      <c r="L1169" s="19">
        <v>0.97099999999999997</v>
      </c>
      <c r="M1169" s="19">
        <v>2.5000000000000001E-2</v>
      </c>
      <c r="N1169" s="21">
        <v>71004.13</v>
      </c>
      <c r="O1169" s="21">
        <v>52060.67</v>
      </c>
      <c r="P1169" s="26">
        <v>18943.46</v>
      </c>
    </row>
    <row r="1170" spans="1:16" x14ac:dyDescent="0.3">
      <c r="A1170" s="25">
        <v>1169</v>
      </c>
      <c r="B1170" s="16" t="s">
        <v>58</v>
      </c>
      <c r="C1170" s="16">
        <v>2025</v>
      </c>
      <c r="D1170" s="16" t="s">
        <v>39</v>
      </c>
      <c r="E1170" s="16" t="s">
        <v>31</v>
      </c>
      <c r="F1170" s="16" t="s">
        <v>36</v>
      </c>
      <c r="G1170" s="16">
        <v>18</v>
      </c>
      <c r="H1170" s="16">
        <v>2866</v>
      </c>
      <c r="I1170" s="16">
        <v>890.8</v>
      </c>
      <c r="J1170" s="19">
        <v>0.64200000000000002</v>
      </c>
      <c r="K1170" s="16">
        <v>72.400000000000006</v>
      </c>
      <c r="L1170" s="19">
        <v>0.90600000000000003</v>
      </c>
      <c r="M1170" s="19">
        <v>1.4E-2</v>
      </c>
      <c r="N1170" s="21">
        <v>22487.54</v>
      </c>
      <c r="O1170" s="21">
        <v>15920.04</v>
      </c>
      <c r="P1170" s="26">
        <v>6567.5</v>
      </c>
    </row>
    <row r="1171" spans="1:16" x14ac:dyDescent="0.3">
      <c r="A1171" s="25">
        <v>1170</v>
      </c>
      <c r="B1171" s="16" t="s">
        <v>58</v>
      </c>
      <c r="C1171" s="16">
        <v>2025</v>
      </c>
      <c r="D1171" s="16" t="s">
        <v>39</v>
      </c>
      <c r="E1171" s="16" t="s">
        <v>32</v>
      </c>
      <c r="F1171" s="16" t="s">
        <v>37</v>
      </c>
      <c r="G1171" s="16">
        <v>71</v>
      </c>
      <c r="H1171" s="16">
        <v>10258</v>
      </c>
      <c r="I1171" s="16">
        <v>632.20000000000005</v>
      </c>
      <c r="J1171" s="19">
        <v>0.67</v>
      </c>
      <c r="K1171" s="16">
        <v>87.9</v>
      </c>
      <c r="L1171" s="19">
        <v>0.82</v>
      </c>
      <c r="M1171" s="19">
        <v>2.8000000000000001E-2</v>
      </c>
      <c r="N1171" s="21">
        <v>91795.11</v>
      </c>
      <c r="O1171" s="21">
        <v>68061.899999999994</v>
      </c>
      <c r="P1171" s="26">
        <v>23733.21</v>
      </c>
    </row>
    <row r="1172" spans="1:16" x14ac:dyDescent="0.3">
      <c r="A1172" s="25">
        <v>1171</v>
      </c>
      <c r="B1172" s="16" t="s">
        <v>58</v>
      </c>
      <c r="C1172" s="16">
        <v>2025</v>
      </c>
      <c r="D1172" s="16" t="s">
        <v>39</v>
      </c>
      <c r="E1172" s="16" t="s">
        <v>27</v>
      </c>
      <c r="F1172" s="16" t="s">
        <v>37</v>
      </c>
      <c r="G1172" s="16">
        <v>46</v>
      </c>
      <c r="H1172" s="16">
        <v>7988</v>
      </c>
      <c r="I1172" s="16">
        <v>569.1</v>
      </c>
      <c r="J1172" s="19">
        <v>0.68600000000000005</v>
      </c>
      <c r="K1172" s="16">
        <v>83.3</v>
      </c>
      <c r="L1172" s="19">
        <v>0.85</v>
      </c>
      <c r="M1172" s="19">
        <v>2.1999999999999999E-2</v>
      </c>
      <c r="N1172" s="21">
        <v>48362.7</v>
      </c>
      <c r="O1172" s="21">
        <v>33108.51</v>
      </c>
      <c r="P1172" s="26">
        <v>15254.19</v>
      </c>
    </row>
    <row r="1173" spans="1:16" x14ac:dyDescent="0.3">
      <c r="A1173" s="25">
        <v>1172</v>
      </c>
      <c r="B1173" s="16" t="s">
        <v>58</v>
      </c>
      <c r="C1173" s="16">
        <v>2025</v>
      </c>
      <c r="D1173" s="16" t="s">
        <v>39</v>
      </c>
      <c r="E1173" s="16" t="s">
        <v>30</v>
      </c>
      <c r="F1173" s="16" t="s">
        <v>37</v>
      </c>
      <c r="G1173" s="16">
        <v>53</v>
      </c>
      <c r="H1173" s="16">
        <v>9120</v>
      </c>
      <c r="I1173" s="16">
        <v>720.5</v>
      </c>
      <c r="J1173" s="19">
        <v>0.67100000000000004</v>
      </c>
      <c r="K1173" s="16">
        <v>76.3</v>
      </c>
      <c r="L1173" s="19">
        <v>0.97699999999999998</v>
      </c>
      <c r="M1173" s="19">
        <v>3.2000000000000001E-2</v>
      </c>
      <c r="N1173" s="21">
        <v>71867.05</v>
      </c>
      <c r="O1173" s="21">
        <v>48157.63</v>
      </c>
      <c r="P1173" s="26">
        <v>23709.42</v>
      </c>
    </row>
    <row r="1174" spans="1:16" x14ac:dyDescent="0.3">
      <c r="A1174" s="25">
        <v>1173</v>
      </c>
      <c r="B1174" s="16" t="s">
        <v>58</v>
      </c>
      <c r="C1174" s="16">
        <v>2025</v>
      </c>
      <c r="D1174" s="16" t="s">
        <v>39</v>
      </c>
      <c r="E1174" s="16" t="s">
        <v>31</v>
      </c>
      <c r="F1174" s="16" t="s">
        <v>37</v>
      </c>
      <c r="G1174" s="16">
        <v>57</v>
      </c>
      <c r="H1174" s="16">
        <v>10217</v>
      </c>
      <c r="I1174" s="16">
        <v>637.4</v>
      </c>
      <c r="J1174" s="19">
        <v>0.65900000000000003</v>
      </c>
      <c r="K1174" s="16">
        <v>81.2</v>
      </c>
      <c r="L1174" s="19">
        <v>0.92800000000000005</v>
      </c>
      <c r="M1174" s="19">
        <v>1.2E-2</v>
      </c>
      <c r="N1174" s="21">
        <v>66203.22</v>
      </c>
      <c r="O1174" s="21">
        <v>47568.76</v>
      </c>
      <c r="P1174" s="26">
        <v>18634.46</v>
      </c>
    </row>
    <row r="1175" spans="1:16" x14ac:dyDescent="0.3">
      <c r="A1175" s="25">
        <v>1174</v>
      </c>
      <c r="B1175" s="16" t="s">
        <v>58</v>
      </c>
      <c r="C1175" s="16">
        <v>2025</v>
      </c>
      <c r="D1175" s="16" t="s">
        <v>39</v>
      </c>
      <c r="E1175" s="16" t="s">
        <v>35</v>
      </c>
      <c r="F1175" s="16" t="s">
        <v>37</v>
      </c>
      <c r="G1175" s="16">
        <v>37</v>
      </c>
      <c r="H1175" s="16">
        <v>4921</v>
      </c>
      <c r="I1175" s="16">
        <v>652.79999999999995</v>
      </c>
      <c r="J1175" s="19">
        <v>0.66400000000000003</v>
      </c>
      <c r="K1175" s="16">
        <v>82.3</v>
      </c>
      <c r="L1175" s="19">
        <v>0.88200000000000001</v>
      </c>
      <c r="M1175" s="19">
        <v>3.2000000000000001E-2</v>
      </c>
      <c r="N1175" s="21">
        <v>51640</v>
      </c>
      <c r="O1175" s="21">
        <v>40252.449999999997</v>
      </c>
      <c r="P1175" s="26">
        <v>11387.55</v>
      </c>
    </row>
    <row r="1176" spans="1:16" x14ac:dyDescent="0.3">
      <c r="A1176" s="25">
        <v>1175</v>
      </c>
      <c r="B1176" s="16" t="s">
        <v>58</v>
      </c>
      <c r="C1176" s="16">
        <v>2025</v>
      </c>
      <c r="D1176" s="16" t="s">
        <v>40</v>
      </c>
      <c r="E1176" s="16" t="s">
        <v>27</v>
      </c>
      <c r="F1176" s="16" t="s">
        <v>28</v>
      </c>
      <c r="G1176" s="16">
        <v>39</v>
      </c>
      <c r="H1176" s="16">
        <v>5117</v>
      </c>
      <c r="I1176" s="16">
        <v>385.8</v>
      </c>
      <c r="J1176" s="19">
        <v>0.89800000000000002</v>
      </c>
      <c r="K1176" s="16">
        <v>79</v>
      </c>
      <c r="L1176" s="19">
        <v>0.91900000000000004</v>
      </c>
      <c r="M1176" s="19">
        <v>1.2999999999999999E-2</v>
      </c>
      <c r="N1176" s="21">
        <v>62755.25</v>
      </c>
      <c r="O1176" s="21">
        <v>46927</v>
      </c>
      <c r="P1176" s="26">
        <v>15828.25</v>
      </c>
    </row>
    <row r="1177" spans="1:16" x14ac:dyDescent="0.3">
      <c r="A1177" s="25">
        <v>1176</v>
      </c>
      <c r="B1177" s="16" t="s">
        <v>58</v>
      </c>
      <c r="C1177" s="16">
        <v>2025</v>
      </c>
      <c r="D1177" s="16" t="s">
        <v>40</v>
      </c>
      <c r="E1177" s="16" t="s">
        <v>31</v>
      </c>
      <c r="F1177" s="16" t="s">
        <v>28</v>
      </c>
      <c r="G1177" s="16">
        <v>42</v>
      </c>
      <c r="H1177" s="16">
        <v>6297</v>
      </c>
      <c r="I1177" s="16">
        <v>455</v>
      </c>
      <c r="J1177" s="19">
        <v>0.76200000000000001</v>
      </c>
      <c r="K1177" s="16">
        <v>74</v>
      </c>
      <c r="L1177" s="19">
        <v>0.80800000000000005</v>
      </c>
      <c r="M1177" s="19">
        <v>2.5000000000000001E-2</v>
      </c>
      <c r="N1177" s="21">
        <v>78924.639999999999</v>
      </c>
      <c r="O1177" s="21">
        <v>54425.919999999998</v>
      </c>
      <c r="P1177" s="26">
        <v>24498.720000000001</v>
      </c>
    </row>
    <row r="1178" spans="1:16" x14ac:dyDescent="0.3">
      <c r="A1178" s="25">
        <v>1177</v>
      </c>
      <c r="B1178" s="16" t="s">
        <v>58</v>
      </c>
      <c r="C1178" s="16">
        <v>2025</v>
      </c>
      <c r="D1178" s="16" t="s">
        <v>40</v>
      </c>
      <c r="E1178" s="16" t="s">
        <v>27</v>
      </c>
      <c r="F1178" s="16" t="s">
        <v>29</v>
      </c>
      <c r="G1178" s="16">
        <v>44</v>
      </c>
      <c r="H1178" s="16">
        <v>7411</v>
      </c>
      <c r="I1178" s="16">
        <v>361</v>
      </c>
      <c r="J1178" s="19">
        <v>0.69599999999999995</v>
      </c>
      <c r="K1178" s="16">
        <v>87.4</v>
      </c>
      <c r="L1178" s="19">
        <v>0.91900000000000004</v>
      </c>
      <c r="M1178" s="19">
        <v>1.4999999999999999E-2</v>
      </c>
      <c r="N1178" s="21">
        <v>61044.49</v>
      </c>
      <c r="O1178" s="21">
        <v>38481.21</v>
      </c>
      <c r="P1178" s="26">
        <v>22563.279999999999</v>
      </c>
    </row>
    <row r="1179" spans="1:16" x14ac:dyDescent="0.3">
      <c r="A1179" s="25">
        <v>1178</v>
      </c>
      <c r="B1179" s="16" t="s">
        <v>58</v>
      </c>
      <c r="C1179" s="16">
        <v>2025</v>
      </c>
      <c r="D1179" s="16" t="s">
        <v>40</v>
      </c>
      <c r="E1179" s="16" t="s">
        <v>31</v>
      </c>
      <c r="F1179" s="16" t="s">
        <v>29</v>
      </c>
      <c r="G1179" s="16">
        <v>55</v>
      </c>
      <c r="H1179" s="16">
        <v>10313</v>
      </c>
      <c r="I1179" s="16">
        <v>291.2</v>
      </c>
      <c r="J1179" s="19">
        <v>0.626</v>
      </c>
      <c r="K1179" s="16">
        <v>82.7</v>
      </c>
      <c r="L1179" s="19">
        <v>0.88600000000000001</v>
      </c>
      <c r="M1179" s="19">
        <v>7.0000000000000001E-3</v>
      </c>
      <c r="N1179" s="21">
        <v>68172.95</v>
      </c>
      <c r="O1179" s="21">
        <v>50238.14</v>
      </c>
      <c r="P1179" s="26">
        <v>17934.810000000001</v>
      </c>
    </row>
    <row r="1180" spans="1:16" x14ac:dyDescent="0.3">
      <c r="A1180" s="25">
        <v>1179</v>
      </c>
      <c r="B1180" s="16" t="s">
        <v>58</v>
      </c>
      <c r="C1180" s="16">
        <v>2025</v>
      </c>
      <c r="D1180" s="16" t="s">
        <v>40</v>
      </c>
      <c r="E1180" s="16" t="s">
        <v>30</v>
      </c>
      <c r="F1180" s="16" t="s">
        <v>33</v>
      </c>
      <c r="G1180" s="16">
        <v>64</v>
      </c>
      <c r="H1180" s="16">
        <v>10427</v>
      </c>
      <c r="I1180" s="16">
        <v>508.2</v>
      </c>
      <c r="J1180" s="19">
        <v>0.74</v>
      </c>
      <c r="K1180" s="16">
        <v>85.9</v>
      </c>
      <c r="L1180" s="19">
        <v>0.88800000000000001</v>
      </c>
      <c r="M1180" s="19">
        <v>3.4000000000000002E-2</v>
      </c>
      <c r="N1180" s="21">
        <v>96589.119999999995</v>
      </c>
      <c r="O1180" s="21">
        <v>65535.98</v>
      </c>
      <c r="P1180" s="26">
        <v>31053.14</v>
      </c>
    </row>
    <row r="1181" spans="1:16" x14ac:dyDescent="0.3">
      <c r="A1181" s="25">
        <v>1180</v>
      </c>
      <c r="B1181" s="16" t="s">
        <v>58</v>
      </c>
      <c r="C1181" s="16">
        <v>2025</v>
      </c>
      <c r="D1181" s="16" t="s">
        <v>40</v>
      </c>
      <c r="E1181" s="16" t="s">
        <v>31</v>
      </c>
      <c r="F1181" s="16" t="s">
        <v>33</v>
      </c>
      <c r="G1181" s="16">
        <v>64</v>
      </c>
      <c r="H1181" s="16">
        <v>11194</v>
      </c>
      <c r="I1181" s="16">
        <v>472.6</v>
      </c>
      <c r="J1181" s="19">
        <v>0.67100000000000004</v>
      </c>
      <c r="K1181" s="16">
        <v>87.6</v>
      </c>
      <c r="L1181" s="19">
        <v>0.85399999999999998</v>
      </c>
      <c r="M1181" s="19">
        <v>1.4999999999999999E-2</v>
      </c>
      <c r="N1181" s="21">
        <v>73408.56</v>
      </c>
      <c r="O1181" s="21">
        <v>55507.519999999997</v>
      </c>
      <c r="P1181" s="26">
        <v>17901.04</v>
      </c>
    </row>
    <row r="1182" spans="1:16" x14ac:dyDescent="0.3">
      <c r="A1182" s="25">
        <v>1181</v>
      </c>
      <c r="B1182" s="16" t="s">
        <v>58</v>
      </c>
      <c r="C1182" s="16">
        <v>2025</v>
      </c>
      <c r="D1182" s="16" t="s">
        <v>40</v>
      </c>
      <c r="E1182" s="16" t="s">
        <v>34</v>
      </c>
      <c r="F1182" s="16" t="s">
        <v>36</v>
      </c>
      <c r="G1182" s="16">
        <v>24</v>
      </c>
      <c r="H1182" s="16">
        <v>4105</v>
      </c>
      <c r="I1182" s="16">
        <v>868.8</v>
      </c>
      <c r="J1182" s="19">
        <v>0.70699999999999996</v>
      </c>
      <c r="K1182" s="16">
        <v>82.2</v>
      </c>
      <c r="L1182" s="19">
        <v>0.89100000000000001</v>
      </c>
      <c r="M1182" s="19">
        <v>3.3000000000000002E-2</v>
      </c>
      <c r="N1182" s="21">
        <v>32701.919999999998</v>
      </c>
      <c r="O1182" s="21">
        <v>23683.52</v>
      </c>
      <c r="P1182" s="26">
        <v>9018.4</v>
      </c>
    </row>
    <row r="1183" spans="1:16" x14ac:dyDescent="0.3">
      <c r="A1183" s="25">
        <v>1182</v>
      </c>
      <c r="B1183" s="16" t="s">
        <v>58</v>
      </c>
      <c r="C1183" s="16">
        <v>2025</v>
      </c>
      <c r="D1183" s="16" t="s">
        <v>40</v>
      </c>
      <c r="E1183" s="16" t="s">
        <v>32</v>
      </c>
      <c r="F1183" s="16" t="s">
        <v>37</v>
      </c>
      <c r="G1183" s="16">
        <v>49</v>
      </c>
      <c r="H1183" s="16">
        <v>7325</v>
      </c>
      <c r="I1183" s="16">
        <v>622</v>
      </c>
      <c r="J1183" s="19">
        <v>0.64700000000000002</v>
      </c>
      <c r="K1183" s="16">
        <v>77.099999999999994</v>
      </c>
      <c r="L1183" s="19">
        <v>0.83599999999999997</v>
      </c>
      <c r="M1183" s="19">
        <v>3.2000000000000001E-2</v>
      </c>
      <c r="N1183" s="21">
        <v>74787.539999999994</v>
      </c>
      <c r="O1183" s="21">
        <v>52492.81</v>
      </c>
      <c r="P1183" s="26">
        <v>22294.73</v>
      </c>
    </row>
    <row r="1184" spans="1:16" x14ac:dyDescent="0.3">
      <c r="A1184" s="25">
        <v>1183</v>
      </c>
      <c r="B1184" s="16" t="s">
        <v>58</v>
      </c>
      <c r="C1184" s="16">
        <v>2025</v>
      </c>
      <c r="D1184" s="16" t="s">
        <v>40</v>
      </c>
      <c r="E1184" s="16" t="s">
        <v>27</v>
      </c>
      <c r="F1184" s="16" t="s">
        <v>37</v>
      </c>
      <c r="G1184" s="16">
        <v>49</v>
      </c>
      <c r="H1184" s="16">
        <v>7293</v>
      </c>
      <c r="I1184" s="16">
        <v>670.8</v>
      </c>
      <c r="J1184" s="19">
        <v>0.745</v>
      </c>
      <c r="K1184" s="16">
        <v>77.5</v>
      </c>
      <c r="L1184" s="19">
        <v>0.94199999999999995</v>
      </c>
      <c r="M1184" s="19">
        <v>0.01</v>
      </c>
      <c r="N1184" s="21">
        <v>72952.850000000006</v>
      </c>
      <c r="O1184" s="21">
        <v>45710.11</v>
      </c>
      <c r="P1184" s="26">
        <v>27242.74</v>
      </c>
    </row>
    <row r="1185" spans="1:16" x14ac:dyDescent="0.3">
      <c r="A1185" s="25">
        <v>1184</v>
      </c>
      <c r="B1185" s="16" t="s">
        <v>58</v>
      </c>
      <c r="C1185" s="16">
        <v>2025</v>
      </c>
      <c r="D1185" s="16" t="s">
        <v>41</v>
      </c>
      <c r="E1185" s="16" t="s">
        <v>34</v>
      </c>
      <c r="F1185" s="16" t="s">
        <v>28</v>
      </c>
      <c r="G1185" s="16">
        <v>43</v>
      </c>
      <c r="H1185" s="16">
        <v>6510</v>
      </c>
      <c r="I1185" s="16">
        <v>450.4</v>
      </c>
      <c r="J1185" s="19">
        <v>0.82</v>
      </c>
      <c r="K1185" s="16">
        <v>78.3</v>
      </c>
      <c r="L1185" s="19">
        <v>0.97499999999999998</v>
      </c>
      <c r="M1185" s="19">
        <v>1.4E-2</v>
      </c>
      <c r="N1185" s="21">
        <v>88184.66</v>
      </c>
      <c r="O1185" s="21">
        <v>65660.92</v>
      </c>
      <c r="P1185" s="26">
        <v>22523.74</v>
      </c>
    </row>
    <row r="1186" spans="1:16" x14ac:dyDescent="0.3">
      <c r="A1186" s="25">
        <v>1185</v>
      </c>
      <c r="B1186" s="16" t="s">
        <v>58</v>
      </c>
      <c r="C1186" s="16">
        <v>2025</v>
      </c>
      <c r="D1186" s="16" t="s">
        <v>41</v>
      </c>
      <c r="E1186" s="16" t="s">
        <v>31</v>
      </c>
      <c r="F1186" s="16" t="s">
        <v>28</v>
      </c>
      <c r="G1186" s="16">
        <v>45</v>
      </c>
      <c r="H1186" s="16">
        <v>7163</v>
      </c>
      <c r="I1186" s="16">
        <v>403.8</v>
      </c>
      <c r="J1186" s="19">
        <v>0.83099999999999996</v>
      </c>
      <c r="K1186" s="16">
        <v>84</v>
      </c>
      <c r="L1186" s="19">
        <v>0.94399999999999995</v>
      </c>
      <c r="M1186" s="19">
        <v>1.9E-2</v>
      </c>
      <c r="N1186" s="21">
        <v>85597.32</v>
      </c>
      <c r="O1186" s="21">
        <v>53420.22</v>
      </c>
      <c r="P1186" s="26">
        <v>32177.1</v>
      </c>
    </row>
    <row r="1187" spans="1:16" x14ac:dyDescent="0.3">
      <c r="A1187" s="25">
        <v>1186</v>
      </c>
      <c r="B1187" s="16" t="s">
        <v>58</v>
      </c>
      <c r="C1187" s="16">
        <v>2025</v>
      </c>
      <c r="D1187" s="16" t="s">
        <v>41</v>
      </c>
      <c r="E1187" s="16" t="s">
        <v>31</v>
      </c>
      <c r="F1187" s="16" t="s">
        <v>29</v>
      </c>
      <c r="G1187" s="16">
        <v>21</v>
      </c>
      <c r="H1187" s="16">
        <v>3161</v>
      </c>
      <c r="I1187" s="16">
        <v>257.2</v>
      </c>
      <c r="J1187" s="19">
        <v>0.66600000000000004</v>
      </c>
      <c r="K1187" s="16">
        <v>84.6</v>
      </c>
      <c r="L1187" s="19">
        <v>0.94599999999999995</v>
      </c>
      <c r="M1187" s="19">
        <v>3.0000000000000001E-3</v>
      </c>
      <c r="N1187" s="21">
        <v>30289.41</v>
      </c>
      <c r="O1187" s="21">
        <v>21161.35</v>
      </c>
      <c r="P1187" s="26">
        <v>9128.06</v>
      </c>
    </row>
    <row r="1188" spans="1:16" x14ac:dyDescent="0.3">
      <c r="A1188" s="25">
        <v>1187</v>
      </c>
      <c r="B1188" s="16" t="s">
        <v>58</v>
      </c>
      <c r="C1188" s="16">
        <v>2025</v>
      </c>
      <c r="D1188" s="16" t="s">
        <v>41</v>
      </c>
      <c r="E1188" s="16" t="s">
        <v>35</v>
      </c>
      <c r="F1188" s="16" t="s">
        <v>29</v>
      </c>
      <c r="G1188" s="16">
        <v>28</v>
      </c>
      <c r="H1188" s="16">
        <v>3840</v>
      </c>
      <c r="I1188" s="16">
        <v>313.89999999999998</v>
      </c>
      <c r="J1188" s="19">
        <v>0.627</v>
      </c>
      <c r="K1188" s="16">
        <v>82.5</v>
      </c>
      <c r="L1188" s="19">
        <v>0.85799999999999998</v>
      </c>
      <c r="M1188" s="19">
        <v>3.5999999999999997E-2</v>
      </c>
      <c r="N1188" s="21">
        <v>46032.35</v>
      </c>
      <c r="O1188" s="21">
        <v>32631.47</v>
      </c>
      <c r="P1188" s="26">
        <v>13400.88</v>
      </c>
    </row>
    <row r="1189" spans="1:16" x14ac:dyDescent="0.3">
      <c r="A1189" s="25">
        <v>1188</v>
      </c>
      <c r="B1189" s="16" t="s">
        <v>58</v>
      </c>
      <c r="C1189" s="16">
        <v>2025</v>
      </c>
      <c r="D1189" s="16" t="s">
        <v>41</v>
      </c>
      <c r="E1189" s="16" t="s">
        <v>32</v>
      </c>
      <c r="F1189" s="16" t="s">
        <v>33</v>
      </c>
      <c r="G1189" s="16">
        <v>22</v>
      </c>
      <c r="H1189" s="16">
        <v>3742</v>
      </c>
      <c r="I1189" s="16">
        <v>433.5</v>
      </c>
      <c r="J1189" s="19">
        <v>0.82399999999999995</v>
      </c>
      <c r="K1189" s="16">
        <v>83.9</v>
      </c>
      <c r="L1189" s="19">
        <v>0.98799999999999999</v>
      </c>
      <c r="M1189" s="19">
        <v>0.05</v>
      </c>
      <c r="N1189" s="21">
        <v>38807.699999999997</v>
      </c>
      <c r="O1189" s="21">
        <v>29548.97</v>
      </c>
      <c r="P1189" s="26">
        <v>9258.73</v>
      </c>
    </row>
    <row r="1190" spans="1:16" x14ac:dyDescent="0.3">
      <c r="A1190" s="25">
        <v>1189</v>
      </c>
      <c r="B1190" s="16" t="s">
        <v>58</v>
      </c>
      <c r="C1190" s="16">
        <v>2025</v>
      </c>
      <c r="D1190" s="16" t="s">
        <v>41</v>
      </c>
      <c r="E1190" s="16" t="s">
        <v>30</v>
      </c>
      <c r="F1190" s="16" t="s">
        <v>33</v>
      </c>
      <c r="G1190" s="16">
        <v>80</v>
      </c>
      <c r="H1190" s="16">
        <v>12974</v>
      </c>
      <c r="I1190" s="16">
        <v>475.7</v>
      </c>
      <c r="J1190" s="19">
        <v>0.80900000000000005</v>
      </c>
      <c r="K1190" s="16">
        <v>86.1</v>
      </c>
      <c r="L1190" s="19">
        <v>0.92700000000000005</v>
      </c>
      <c r="M1190" s="19">
        <v>2.4E-2</v>
      </c>
      <c r="N1190" s="21">
        <v>135493.59</v>
      </c>
      <c r="O1190" s="21">
        <v>102869.83</v>
      </c>
      <c r="P1190" s="26">
        <v>32623.759999999998</v>
      </c>
    </row>
    <row r="1191" spans="1:16" x14ac:dyDescent="0.3">
      <c r="A1191" s="25">
        <v>1190</v>
      </c>
      <c r="B1191" s="16" t="s">
        <v>58</v>
      </c>
      <c r="C1191" s="16">
        <v>2025</v>
      </c>
      <c r="D1191" s="16" t="s">
        <v>41</v>
      </c>
      <c r="E1191" s="16" t="s">
        <v>34</v>
      </c>
      <c r="F1191" s="16" t="s">
        <v>33</v>
      </c>
      <c r="G1191" s="16">
        <v>55</v>
      </c>
      <c r="H1191" s="16">
        <v>11203</v>
      </c>
      <c r="I1191" s="16">
        <v>525.5</v>
      </c>
      <c r="J1191" s="19">
        <v>0.69</v>
      </c>
      <c r="K1191" s="16">
        <v>99</v>
      </c>
      <c r="L1191" s="19">
        <v>0.92500000000000004</v>
      </c>
      <c r="M1191" s="19">
        <v>2.7E-2</v>
      </c>
      <c r="N1191" s="21">
        <v>94527.37</v>
      </c>
      <c r="O1191" s="21">
        <v>67253.31</v>
      </c>
      <c r="P1191" s="26">
        <v>27274.06</v>
      </c>
    </row>
    <row r="1192" spans="1:16" x14ac:dyDescent="0.3">
      <c r="A1192" s="25">
        <v>1191</v>
      </c>
      <c r="B1192" s="16" t="s">
        <v>58</v>
      </c>
      <c r="C1192" s="16">
        <v>2025</v>
      </c>
      <c r="D1192" s="16" t="s">
        <v>41</v>
      </c>
      <c r="E1192" s="16" t="s">
        <v>31</v>
      </c>
      <c r="F1192" s="16" t="s">
        <v>33</v>
      </c>
      <c r="G1192" s="16">
        <v>49</v>
      </c>
      <c r="H1192" s="16">
        <v>7709</v>
      </c>
      <c r="I1192" s="16">
        <v>519</v>
      </c>
      <c r="J1192" s="19">
        <v>0.79200000000000004</v>
      </c>
      <c r="K1192" s="16">
        <v>87.3</v>
      </c>
      <c r="L1192" s="19">
        <v>0.90200000000000002</v>
      </c>
      <c r="M1192" s="19">
        <v>5.0000000000000001E-3</v>
      </c>
      <c r="N1192" s="21">
        <v>84937.77</v>
      </c>
      <c r="O1192" s="21">
        <v>57825.04</v>
      </c>
      <c r="P1192" s="26">
        <v>27112.73</v>
      </c>
    </row>
    <row r="1193" spans="1:16" x14ac:dyDescent="0.3">
      <c r="A1193" s="25">
        <v>1192</v>
      </c>
      <c r="B1193" s="16" t="s">
        <v>58</v>
      </c>
      <c r="C1193" s="16">
        <v>2025</v>
      </c>
      <c r="D1193" s="16" t="s">
        <v>41</v>
      </c>
      <c r="E1193" s="16" t="s">
        <v>30</v>
      </c>
      <c r="F1193" s="16" t="s">
        <v>36</v>
      </c>
      <c r="G1193" s="16">
        <v>53</v>
      </c>
      <c r="H1193" s="16">
        <v>6960</v>
      </c>
      <c r="I1193" s="16">
        <v>977.2</v>
      </c>
      <c r="J1193" s="19">
        <v>0.69399999999999995</v>
      </c>
      <c r="K1193" s="16">
        <v>86.3</v>
      </c>
      <c r="L1193" s="19">
        <v>0.90100000000000002</v>
      </c>
      <c r="M1193" s="19">
        <v>0.01</v>
      </c>
      <c r="N1193" s="21">
        <v>110238.18</v>
      </c>
      <c r="O1193" s="21">
        <v>80741.95</v>
      </c>
      <c r="P1193" s="26">
        <v>29496.23</v>
      </c>
    </row>
    <row r="1194" spans="1:16" x14ac:dyDescent="0.3">
      <c r="A1194" s="25">
        <v>1193</v>
      </c>
      <c r="B1194" s="16" t="s">
        <v>58</v>
      </c>
      <c r="C1194" s="16">
        <v>2025</v>
      </c>
      <c r="D1194" s="16" t="s">
        <v>41</v>
      </c>
      <c r="E1194" s="16" t="s">
        <v>34</v>
      </c>
      <c r="F1194" s="16" t="s">
        <v>36</v>
      </c>
      <c r="G1194" s="16">
        <v>58</v>
      </c>
      <c r="H1194" s="16">
        <v>8864</v>
      </c>
      <c r="I1194" s="16">
        <v>842</v>
      </c>
      <c r="J1194" s="19">
        <v>0.68799999999999994</v>
      </c>
      <c r="K1194" s="16">
        <v>85.8</v>
      </c>
      <c r="L1194" s="19">
        <v>0.91900000000000004</v>
      </c>
      <c r="M1194" s="19">
        <v>0.03</v>
      </c>
      <c r="N1194" s="21">
        <v>123021.33</v>
      </c>
      <c r="O1194" s="21">
        <v>83789.759999999995</v>
      </c>
      <c r="P1194" s="26">
        <v>39231.57</v>
      </c>
    </row>
    <row r="1195" spans="1:16" x14ac:dyDescent="0.3">
      <c r="A1195" s="25">
        <v>1194</v>
      </c>
      <c r="B1195" s="16" t="s">
        <v>58</v>
      </c>
      <c r="C1195" s="16">
        <v>2025</v>
      </c>
      <c r="D1195" s="16" t="s">
        <v>41</v>
      </c>
      <c r="E1195" s="16" t="s">
        <v>31</v>
      </c>
      <c r="F1195" s="16" t="s">
        <v>36</v>
      </c>
      <c r="G1195" s="16">
        <v>19</v>
      </c>
      <c r="H1195" s="16">
        <v>3566</v>
      </c>
      <c r="I1195" s="16">
        <v>954.4</v>
      </c>
      <c r="J1195" s="19">
        <v>0.61799999999999999</v>
      </c>
      <c r="K1195" s="16">
        <v>94.5</v>
      </c>
      <c r="L1195" s="19">
        <v>0.91</v>
      </c>
      <c r="M1195" s="19">
        <v>2.4E-2</v>
      </c>
      <c r="N1195" s="21">
        <v>37458.65</v>
      </c>
      <c r="O1195" s="21">
        <v>26968.67</v>
      </c>
      <c r="P1195" s="26">
        <v>10489.98</v>
      </c>
    </row>
    <row r="1196" spans="1:16" x14ac:dyDescent="0.3">
      <c r="A1196" s="25">
        <v>1195</v>
      </c>
      <c r="B1196" s="16" t="s">
        <v>58</v>
      </c>
      <c r="C1196" s="16">
        <v>2025</v>
      </c>
      <c r="D1196" s="16" t="s">
        <v>41</v>
      </c>
      <c r="E1196" s="16" t="s">
        <v>35</v>
      </c>
      <c r="F1196" s="16" t="s">
        <v>36</v>
      </c>
      <c r="G1196" s="16">
        <v>57</v>
      </c>
      <c r="H1196" s="16">
        <v>9822</v>
      </c>
      <c r="I1196" s="16">
        <v>884</v>
      </c>
      <c r="J1196" s="19">
        <v>0.69699999999999995</v>
      </c>
      <c r="K1196" s="16">
        <v>82.5</v>
      </c>
      <c r="L1196" s="19">
        <v>0.878</v>
      </c>
      <c r="M1196" s="19">
        <v>1.7000000000000001E-2</v>
      </c>
      <c r="N1196" s="21">
        <v>91326.09</v>
      </c>
      <c r="O1196" s="21">
        <v>57402.11</v>
      </c>
      <c r="P1196" s="26">
        <v>33923.980000000003</v>
      </c>
    </row>
    <row r="1197" spans="1:16" x14ac:dyDescent="0.3">
      <c r="A1197" s="25">
        <v>1196</v>
      </c>
      <c r="B1197" s="16" t="s">
        <v>58</v>
      </c>
      <c r="C1197" s="16">
        <v>2025</v>
      </c>
      <c r="D1197" s="16" t="s">
        <v>41</v>
      </c>
      <c r="E1197" s="16" t="s">
        <v>32</v>
      </c>
      <c r="F1197" s="16" t="s">
        <v>37</v>
      </c>
      <c r="G1197" s="16">
        <v>57</v>
      </c>
      <c r="H1197" s="16">
        <v>7270</v>
      </c>
      <c r="I1197" s="16">
        <v>655.5</v>
      </c>
      <c r="J1197" s="19">
        <v>0.68799999999999994</v>
      </c>
      <c r="K1197" s="16">
        <v>82.4</v>
      </c>
      <c r="L1197" s="19">
        <v>0.80500000000000005</v>
      </c>
      <c r="M1197" s="19">
        <v>1.7999999999999999E-2</v>
      </c>
      <c r="N1197" s="21">
        <v>103923</v>
      </c>
      <c r="O1197" s="21">
        <v>68480.2</v>
      </c>
      <c r="P1197" s="26">
        <v>35442.800000000003</v>
      </c>
    </row>
    <row r="1198" spans="1:16" x14ac:dyDescent="0.3">
      <c r="A1198" s="25">
        <v>1197</v>
      </c>
      <c r="B1198" s="16" t="s">
        <v>58</v>
      </c>
      <c r="C1198" s="16">
        <v>2025</v>
      </c>
      <c r="D1198" s="16" t="s">
        <v>41</v>
      </c>
      <c r="E1198" s="16" t="s">
        <v>27</v>
      </c>
      <c r="F1198" s="16" t="s">
        <v>37</v>
      </c>
      <c r="G1198" s="16">
        <v>60</v>
      </c>
      <c r="H1198" s="16">
        <v>10192</v>
      </c>
      <c r="I1198" s="16">
        <v>701.5</v>
      </c>
      <c r="J1198" s="19">
        <v>0.69199999999999995</v>
      </c>
      <c r="K1198" s="16">
        <v>86.4</v>
      </c>
      <c r="L1198" s="19">
        <v>0.94099999999999995</v>
      </c>
      <c r="M1198" s="19">
        <v>2.1999999999999999E-2</v>
      </c>
      <c r="N1198" s="21">
        <v>82232.399999999994</v>
      </c>
      <c r="O1198" s="21">
        <v>60064.27</v>
      </c>
      <c r="P1198" s="26">
        <v>22168.13</v>
      </c>
    </row>
    <row r="1199" spans="1:16" x14ac:dyDescent="0.3">
      <c r="A1199" s="25">
        <v>1198</v>
      </c>
      <c r="B1199" s="16" t="s">
        <v>58</v>
      </c>
      <c r="C1199" s="16">
        <v>2025</v>
      </c>
      <c r="D1199" s="16" t="s">
        <v>41</v>
      </c>
      <c r="E1199" s="16" t="s">
        <v>34</v>
      </c>
      <c r="F1199" s="16" t="s">
        <v>37</v>
      </c>
      <c r="G1199" s="16">
        <v>49</v>
      </c>
      <c r="H1199" s="16">
        <v>8237</v>
      </c>
      <c r="I1199" s="16">
        <v>635.70000000000005</v>
      </c>
      <c r="J1199" s="19">
        <v>0.53800000000000003</v>
      </c>
      <c r="K1199" s="16">
        <v>86</v>
      </c>
      <c r="L1199" s="19">
        <v>0.90300000000000002</v>
      </c>
      <c r="M1199" s="19">
        <v>0.03</v>
      </c>
      <c r="N1199" s="21">
        <v>66413.100000000006</v>
      </c>
      <c r="O1199" s="21">
        <v>41359.949999999997</v>
      </c>
      <c r="P1199" s="26">
        <v>25053.15</v>
      </c>
    </row>
    <row r="1200" spans="1:16" x14ac:dyDescent="0.3">
      <c r="A1200" s="25">
        <v>1199</v>
      </c>
      <c r="B1200" s="16" t="s">
        <v>58</v>
      </c>
      <c r="C1200" s="16">
        <v>2025</v>
      </c>
      <c r="D1200" s="16" t="s">
        <v>41</v>
      </c>
      <c r="E1200" s="16" t="s">
        <v>31</v>
      </c>
      <c r="F1200" s="16" t="s">
        <v>37</v>
      </c>
      <c r="G1200" s="16">
        <v>44</v>
      </c>
      <c r="H1200" s="16">
        <v>5255</v>
      </c>
      <c r="I1200" s="16">
        <v>646.70000000000005</v>
      </c>
      <c r="J1200" s="19">
        <v>0.61299999999999999</v>
      </c>
      <c r="K1200" s="16">
        <v>80.5</v>
      </c>
      <c r="L1200" s="19">
        <v>0.82299999999999995</v>
      </c>
      <c r="M1200" s="19">
        <v>8.0000000000000002E-3</v>
      </c>
      <c r="N1200" s="21">
        <v>61028.13</v>
      </c>
      <c r="O1200" s="21">
        <v>40122.94</v>
      </c>
      <c r="P1200" s="26">
        <v>20905.189999999999</v>
      </c>
    </row>
    <row r="1201" spans="1:16" x14ac:dyDescent="0.3">
      <c r="A1201" s="25">
        <v>1200</v>
      </c>
      <c r="B1201" s="16" t="s">
        <v>58</v>
      </c>
      <c r="C1201" s="16">
        <v>2025</v>
      </c>
      <c r="D1201" s="16" t="s">
        <v>41</v>
      </c>
      <c r="E1201" s="16" t="s">
        <v>35</v>
      </c>
      <c r="F1201" s="16" t="s">
        <v>37</v>
      </c>
      <c r="G1201" s="16">
        <v>31</v>
      </c>
      <c r="H1201" s="16">
        <v>5427</v>
      </c>
      <c r="I1201" s="16">
        <v>665.2</v>
      </c>
      <c r="J1201" s="19">
        <v>0.53800000000000003</v>
      </c>
      <c r="K1201" s="16">
        <v>89</v>
      </c>
      <c r="L1201" s="19">
        <v>0.94599999999999995</v>
      </c>
      <c r="M1201" s="19">
        <v>2.1000000000000001E-2</v>
      </c>
      <c r="N1201" s="21">
        <v>44326.6</v>
      </c>
      <c r="O1201" s="21">
        <v>30612.78</v>
      </c>
      <c r="P1201" s="26">
        <v>13713.82</v>
      </c>
    </row>
    <row r="1202" spans="1:16" x14ac:dyDescent="0.3">
      <c r="A1202" s="25">
        <v>1201</v>
      </c>
      <c r="B1202" s="16" t="s">
        <v>59</v>
      </c>
      <c r="C1202" s="16">
        <v>2025</v>
      </c>
      <c r="D1202" s="16" t="s">
        <v>26</v>
      </c>
      <c r="E1202" s="16" t="s">
        <v>32</v>
      </c>
      <c r="F1202" s="16" t="s">
        <v>28</v>
      </c>
      <c r="G1202" s="16">
        <v>6</v>
      </c>
      <c r="H1202" s="16">
        <v>789</v>
      </c>
      <c r="I1202" s="16">
        <v>440.1</v>
      </c>
      <c r="J1202" s="19">
        <v>0.79</v>
      </c>
      <c r="K1202" s="16">
        <v>81.400000000000006</v>
      </c>
      <c r="L1202" s="19">
        <v>0.90100000000000002</v>
      </c>
      <c r="M1202" s="19">
        <v>1.7999999999999999E-2</v>
      </c>
      <c r="N1202" s="21">
        <v>7894.59</v>
      </c>
      <c r="O1202" s="21">
        <v>6113.04</v>
      </c>
      <c r="P1202" s="26">
        <v>1781.55</v>
      </c>
    </row>
    <row r="1203" spans="1:16" x14ac:dyDescent="0.3">
      <c r="A1203" s="25">
        <v>1202</v>
      </c>
      <c r="B1203" s="16" t="s">
        <v>59</v>
      </c>
      <c r="C1203" s="16">
        <v>2025</v>
      </c>
      <c r="D1203" s="16" t="s">
        <v>26</v>
      </c>
      <c r="E1203" s="16" t="s">
        <v>34</v>
      </c>
      <c r="F1203" s="16" t="s">
        <v>28</v>
      </c>
      <c r="G1203" s="16">
        <v>32</v>
      </c>
      <c r="H1203" s="16">
        <v>5541</v>
      </c>
      <c r="I1203" s="16">
        <v>499.3</v>
      </c>
      <c r="J1203" s="19">
        <v>0.88500000000000001</v>
      </c>
      <c r="K1203" s="16">
        <v>85.5</v>
      </c>
      <c r="L1203" s="19">
        <v>0.79200000000000004</v>
      </c>
      <c r="M1203" s="19">
        <v>1.0999999999999999E-2</v>
      </c>
      <c r="N1203" s="21">
        <v>42439.38</v>
      </c>
      <c r="O1203" s="21">
        <v>26768.62</v>
      </c>
      <c r="P1203" s="26">
        <v>15670.76</v>
      </c>
    </row>
    <row r="1204" spans="1:16" x14ac:dyDescent="0.3">
      <c r="A1204" s="25">
        <v>1203</v>
      </c>
      <c r="B1204" s="16" t="s">
        <v>59</v>
      </c>
      <c r="C1204" s="16">
        <v>2025</v>
      </c>
      <c r="D1204" s="16" t="s">
        <v>26</v>
      </c>
      <c r="E1204" s="16" t="s">
        <v>27</v>
      </c>
      <c r="F1204" s="16" t="s">
        <v>29</v>
      </c>
      <c r="G1204" s="16">
        <v>23</v>
      </c>
      <c r="H1204" s="16">
        <v>4044</v>
      </c>
      <c r="I1204" s="16">
        <v>347.7</v>
      </c>
      <c r="J1204" s="19">
        <v>0.63300000000000001</v>
      </c>
      <c r="K1204" s="16">
        <v>80.5</v>
      </c>
      <c r="L1204" s="19">
        <v>1</v>
      </c>
      <c r="M1204" s="19">
        <v>2.8000000000000001E-2</v>
      </c>
      <c r="N1204" s="21">
        <v>23149.09</v>
      </c>
      <c r="O1204" s="21">
        <v>14538.97</v>
      </c>
      <c r="P1204" s="26">
        <v>8610.1200000000008</v>
      </c>
    </row>
    <row r="1205" spans="1:16" x14ac:dyDescent="0.3">
      <c r="A1205" s="25">
        <v>1204</v>
      </c>
      <c r="B1205" s="16" t="s">
        <v>59</v>
      </c>
      <c r="C1205" s="16">
        <v>2025</v>
      </c>
      <c r="D1205" s="16" t="s">
        <v>26</v>
      </c>
      <c r="E1205" s="16" t="s">
        <v>30</v>
      </c>
      <c r="F1205" s="16" t="s">
        <v>29</v>
      </c>
      <c r="G1205" s="16">
        <v>25</v>
      </c>
      <c r="H1205" s="16">
        <v>4713</v>
      </c>
      <c r="I1205" s="16">
        <v>252.7</v>
      </c>
      <c r="J1205" s="19">
        <v>0.66300000000000003</v>
      </c>
      <c r="K1205" s="16">
        <v>70.3</v>
      </c>
      <c r="L1205" s="19">
        <v>0.92500000000000004</v>
      </c>
      <c r="M1205" s="19">
        <v>2.4E-2</v>
      </c>
      <c r="N1205" s="21">
        <v>25860.18</v>
      </c>
      <c r="O1205" s="21">
        <v>17325.21</v>
      </c>
      <c r="P1205" s="26">
        <v>8534.9699999999993</v>
      </c>
    </row>
    <row r="1206" spans="1:16" x14ac:dyDescent="0.3">
      <c r="A1206" s="25">
        <v>1205</v>
      </c>
      <c r="B1206" s="16" t="s">
        <v>59</v>
      </c>
      <c r="C1206" s="16">
        <v>2025</v>
      </c>
      <c r="D1206" s="16" t="s">
        <v>26</v>
      </c>
      <c r="E1206" s="16" t="s">
        <v>34</v>
      </c>
      <c r="F1206" s="16" t="s">
        <v>29</v>
      </c>
      <c r="G1206" s="16">
        <v>68</v>
      </c>
      <c r="H1206" s="16">
        <v>11777</v>
      </c>
      <c r="I1206" s="16">
        <v>276.5</v>
      </c>
      <c r="J1206" s="19">
        <v>0.65500000000000003</v>
      </c>
      <c r="K1206" s="16">
        <v>79.900000000000006</v>
      </c>
      <c r="L1206" s="19">
        <v>0.90100000000000002</v>
      </c>
      <c r="M1206" s="19">
        <v>3.4000000000000002E-2</v>
      </c>
      <c r="N1206" s="21">
        <v>80582.100000000006</v>
      </c>
      <c r="O1206" s="21">
        <v>59116.46</v>
      </c>
      <c r="P1206" s="26">
        <v>21465.64</v>
      </c>
    </row>
    <row r="1207" spans="1:16" x14ac:dyDescent="0.3">
      <c r="A1207" s="25">
        <v>1206</v>
      </c>
      <c r="B1207" s="16" t="s">
        <v>59</v>
      </c>
      <c r="C1207" s="16">
        <v>2025</v>
      </c>
      <c r="D1207" s="16" t="s">
        <v>26</v>
      </c>
      <c r="E1207" s="16" t="s">
        <v>35</v>
      </c>
      <c r="F1207" s="16" t="s">
        <v>29</v>
      </c>
      <c r="G1207" s="16">
        <v>61</v>
      </c>
      <c r="H1207" s="16">
        <v>9825</v>
      </c>
      <c r="I1207" s="16">
        <v>270.8</v>
      </c>
      <c r="J1207" s="19">
        <v>0.69299999999999995</v>
      </c>
      <c r="K1207" s="16">
        <v>84</v>
      </c>
      <c r="L1207" s="19">
        <v>0.91100000000000003</v>
      </c>
      <c r="M1207" s="19">
        <v>1.7000000000000001E-2</v>
      </c>
      <c r="N1207" s="21">
        <v>72650.080000000002</v>
      </c>
      <c r="O1207" s="21">
        <v>46222.93</v>
      </c>
      <c r="P1207" s="26">
        <v>26427.15</v>
      </c>
    </row>
    <row r="1208" spans="1:16" x14ac:dyDescent="0.3">
      <c r="A1208" s="25">
        <v>1207</v>
      </c>
      <c r="B1208" s="16" t="s">
        <v>59</v>
      </c>
      <c r="C1208" s="16">
        <v>2025</v>
      </c>
      <c r="D1208" s="16" t="s">
        <v>26</v>
      </c>
      <c r="E1208" s="16" t="s">
        <v>34</v>
      </c>
      <c r="F1208" s="16" t="s">
        <v>33</v>
      </c>
      <c r="G1208" s="16">
        <v>56</v>
      </c>
      <c r="H1208" s="16">
        <v>7582</v>
      </c>
      <c r="I1208" s="16">
        <v>465.2</v>
      </c>
      <c r="J1208" s="19">
        <v>0.79700000000000004</v>
      </c>
      <c r="K1208" s="16">
        <v>85</v>
      </c>
      <c r="L1208" s="19">
        <v>0.84099999999999997</v>
      </c>
      <c r="M1208" s="19">
        <v>8.0000000000000002E-3</v>
      </c>
      <c r="N1208" s="21">
        <v>84200.3</v>
      </c>
      <c r="O1208" s="21">
        <v>61829.91</v>
      </c>
      <c r="P1208" s="26">
        <v>22370.39</v>
      </c>
    </row>
    <row r="1209" spans="1:16" x14ac:dyDescent="0.3">
      <c r="A1209" s="25">
        <v>1208</v>
      </c>
      <c r="B1209" s="16" t="s">
        <v>59</v>
      </c>
      <c r="C1209" s="16">
        <v>2025</v>
      </c>
      <c r="D1209" s="16" t="s">
        <v>26</v>
      </c>
      <c r="E1209" s="16" t="s">
        <v>31</v>
      </c>
      <c r="F1209" s="16" t="s">
        <v>33</v>
      </c>
      <c r="G1209" s="16">
        <v>77</v>
      </c>
      <c r="H1209" s="16">
        <v>10908</v>
      </c>
      <c r="I1209" s="16">
        <v>580.1</v>
      </c>
      <c r="J1209" s="19">
        <v>0.74099999999999999</v>
      </c>
      <c r="K1209" s="16">
        <v>79.2</v>
      </c>
      <c r="L1209" s="19">
        <v>0.76500000000000001</v>
      </c>
      <c r="M1209" s="19">
        <v>2.1999999999999999E-2</v>
      </c>
      <c r="N1209" s="21">
        <v>118297.5</v>
      </c>
      <c r="O1209" s="21">
        <v>80728.36</v>
      </c>
      <c r="P1209" s="26">
        <v>37569.14</v>
      </c>
    </row>
    <row r="1210" spans="1:16" x14ac:dyDescent="0.3">
      <c r="A1210" s="25">
        <v>1209</v>
      </c>
      <c r="B1210" s="16" t="s">
        <v>59</v>
      </c>
      <c r="C1210" s="16">
        <v>2025</v>
      </c>
      <c r="D1210" s="16" t="s">
        <v>26</v>
      </c>
      <c r="E1210" s="16" t="s">
        <v>35</v>
      </c>
      <c r="F1210" s="16" t="s">
        <v>33</v>
      </c>
      <c r="G1210" s="16">
        <v>45</v>
      </c>
      <c r="H1210" s="16">
        <v>6739</v>
      </c>
      <c r="I1210" s="16">
        <v>441.6</v>
      </c>
      <c r="J1210" s="19">
        <v>0.63500000000000001</v>
      </c>
      <c r="K1210" s="16">
        <v>82.9</v>
      </c>
      <c r="L1210" s="19">
        <v>0.877</v>
      </c>
      <c r="M1210" s="19">
        <v>2.5000000000000001E-2</v>
      </c>
      <c r="N1210" s="21">
        <v>52439.75</v>
      </c>
      <c r="O1210" s="21">
        <v>32682.54</v>
      </c>
      <c r="P1210" s="26">
        <v>19757.21</v>
      </c>
    </row>
    <row r="1211" spans="1:16" x14ac:dyDescent="0.3">
      <c r="A1211" s="25">
        <v>1210</v>
      </c>
      <c r="B1211" s="16" t="s">
        <v>59</v>
      </c>
      <c r="C1211" s="16">
        <v>2025</v>
      </c>
      <c r="D1211" s="16" t="s">
        <v>26</v>
      </c>
      <c r="E1211" s="16" t="s">
        <v>32</v>
      </c>
      <c r="F1211" s="16" t="s">
        <v>36</v>
      </c>
      <c r="G1211" s="16">
        <v>73</v>
      </c>
      <c r="H1211" s="16">
        <v>10394</v>
      </c>
      <c r="I1211" s="16">
        <v>906.8</v>
      </c>
      <c r="J1211" s="19">
        <v>0.74399999999999999</v>
      </c>
      <c r="K1211" s="16">
        <v>85.8</v>
      </c>
      <c r="L1211" s="19">
        <v>0.90600000000000003</v>
      </c>
      <c r="M1211" s="19">
        <v>2.1999999999999999E-2</v>
      </c>
      <c r="N1211" s="21">
        <v>99065.01</v>
      </c>
      <c r="O1211" s="21">
        <v>72230.240000000005</v>
      </c>
      <c r="P1211" s="26">
        <v>26834.77</v>
      </c>
    </row>
    <row r="1212" spans="1:16" x14ac:dyDescent="0.3">
      <c r="A1212" s="25">
        <v>1211</v>
      </c>
      <c r="B1212" s="16" t="s">
        <v>59</v>
      </c>
      <c r="C1212" s="16">
        <v>2025</v>
      </c>
      <c r="D1212" s="16" t="s">
        <v>26</v>
      </c>
      <c r="E1212" s="16" t="s">
        <v>34</v>
      </c>
      <c r="F1212" s="16" t="s">
        <v>36</v>
      </c>
      <c r="G1212" s="16">
        <v>52</v>
      </c>
      <c r="H1212" s="16">
        <v>8313</v>
      </c>
      <c r="I1212" s="16">
        <v>878.2</v>
      </c>
      <c r="J1212" s="19">
        <v>0.72899999999999998</v>
      </c>
      <c r="K1212" s="16">
        <v>83.8</v>
      </c>
      <c r="L1212" s="19">
        <v>0.92800000000000005</v>
      </c>
      <c r="M1212" s="19">
        <v>1.2999999999999999E-2</v>
      </c>
      <c r="N1212" s="21">
        <v>55026.2</v>
      </c>
      <c r="O1212" s="21">
        <v>36684.01</v>
      </c>
      <c r="P1212" s="26">
        <v>18342.189999999999</v>
      </c>
    </row>
    <row r="1213" spans="1:16" x14ac:dyDescent="0.3">
      <c r="A1213" s="25">
        <v>1212</v>
      </c>
      <c r="B1213" s="16" t="s">
        <v>59</v>
      </c>
      <c r="C1213" s="16">
        <v>2025</v>
      </c>
      <c r="D1213" s="16" t="s">
        <v>26</v>
      </c>
      <c r="E1213" s="16" t="s">
        <v>31</v>
      </c>
      <c r="F1213" s="16" t="s">
        <v>36</v>
      </c>
      <c r="G1213" s="16">
        <v>46</v>
      </c>
      <c r="H1213" s="16">
        <v>7975</v>
      </c>
      <c r="I1213" s="16">
        <v>919.9</v>
      </c>
      <c r="J1213" s="19">
        <v>0.63500000000000001</v>
      </c>
      <c r="K1213" s="16">
        <v>77.900000000000006</v>
      </c>
      <c r="L1213" s="19">
        <v>0.92400000000000004</v>
      </c>
      <c r="M1213" s="19">
        <v>2.1999999999999999E-2</v>
      </c>
      <c r="N1213" s="21">
        <v>54598.35</v>
      </c>
      <c r="O1213" s="21">
        <v>36110.199999999997</v>
      </c>
      <c r="P1213" s="26">
        <v>18488.150000000001</v>
      </c>
    </row>
    <row r="1214" spans="1:16" x14ac:dyDescent="0.3">
      <c r="A1214" s="25">
        <v>1213</v>
      </c>
      <c r="B1214" s="16" t="s">
        <v>59</v>
      </c>
      <c r="C1214" s="16">
        <v>2025</v>
      </c>
      <c r="D1214" s="16" t="s">
        <v>26</v>
      </c>
      <c r="E1214" s="16" t="s">
        <v>27</v>
      </c>
      <c r="F1214" s="16" t="s">
        <v>37</v>
      </c>
      <c r="G1214" s="16">
        <v>85</v>
      </c>
      <c r="H1214" s="16">
        <v>12637</v>
      </c>
      <c r="I1214" s="16">
        <v>732.6</v>
      </c>
      <c r="J1214" s="19">
        <v>0.61</v>
      </c>
      <c r="K1214" s="16">
        <v>72.099999999999994</v>
      </c>
      <c r="L1214" s="19">
        <v>0.97099999999999997</v>
      </c>
      <c r="M1214" s="19">
        <v>1.7000000000000001E-2</v>
      </c>
      <c r="N1214" s="21">
        <v>115977.76</v>
      </c>
      <c r="O1214" s="21">
        <v>77353.05</v>
      </c>
      <c r="P1214" s="26">
        <v>38624.71</v>
      </c>
    </row>
    <row r="1215" spans="1:16" x14ac:dyDescent="0.3">
      <c r="A1215" s="25">
        <v>1214</v>
      </c>
      <c r="B1215" s="16" t="s">
        <v>59</v>
      </c>
      <c r="C1215" s="16">
        <v>2025</v>
      </c>
      <c r="D1215" s="16" t="s">
        <v>26</v>
      </c>
      <c r="E1215" s="16" t="s">
        <v>35</v>
      </c>
      <c r="F1215" s="16" t="s">
        <v>37</v>
      </c>
      <c r="G1215" s="16">
        <v>37</v>
      </c>
      <c r="H1215" s="16">
        <v>5059</v>
      </c>
      <c r="I1215" s="16">
        <v>548</v>
      </c>
      <c r="J1215" s="19">
        <v>0.68500000000000005</v>
      </c>
      <c r="K1215" s="16">
        <v>75.400000000000006</v>
      </c>
      <c r="L1215" s="19">
        <v>0.95599999999999996</v>
      </c>
      <c r="M1215" s="19">
        <v>3.5999999999999997E-2</v>
      </c>
      <c r="N1215" s="21">
        <v>45514.15</v>
      </c>
      <c r="O1215" s="21">
        <v>34850.57</v>
      </c>
      <c r="P1215" s="26">
        <v>10663.58</v>
      </c>
    </row>
    <row r="1216" spans="1:16" x14ac:dyDescent="0.3">
      <c r="A1216" s="25">
        <v>1215</v>
      </c>
      <c r="B1216" s="16" t="s">
        <v>59</v>
      </c>
      <c r="C1216" s="16">
        <v>2025</v>
      </c>
      <c r="D1216" s="16" t="s">
        <v>38</v>
      </c>
      <c r="E1216" s="16" t="s">
        <v>32</v>
      </c>
      <c r="F1216" s="16" t="s">
        <v>28</v>
      </c>
      <c r="G1216" s="16">
        <v>53</v>
      </c>
      <c r="H1216" s="16">
        <v>8004</v>
      </c>
      <c r="I1216" s="16">
        <v>392</v>
      </c>
      <c r="J1216" s="19">
        <v>0.74299999999999999</v>
      </c>
      <c r="K1216" s="16">
        <v>90.6</v>
      </c>
      <c r="L1216" s="19">
        <v>0.91200000000000003</v>
      </c>
      <c r="M1216" s="19">
        <v>3.9E-2</v>
      </c>
      <c r="N1216" s="21">
        <v>78947.41</v>
      </c>
      <c r="O1216" s="21">
        <v>61203.74</v>
      </c>
      <c r="P1216" s="26">
        <v>17743.669999999998</v>
      </c>
    </row>
    <row r="1217" spans="1:16" x14ac:dyDescent="0.3">
      <c r="A1217" s="25">
        <v>1216</v>
      </c>
      <c r="B1217" s="16" t="s">
        <v>59</v>
      </c>
      <c r="C1217" s="16">
        <v>2025</v>
      </c>
      <c r="D1217" s="16" t="s">
        <v>38</v>
      </c>
      <c r="E1217" s="16" t="s">
        <v>32</v>
      </c>
      <c r="F1217" s="16" t="s">
        <v>29</v>
      </c>
      <c r="G1217" s="16">
        <v>63</v>
      </c>
      <c r="H1217" s="16">
        <v>10307</v>
      </c>
      <c r="I1217" s="16">
        <v>312.3</v>
      </c>
      <c r="J1217" s="19">
        <v>0.52200000000000002</v>
      </c>
      <c r="K1217" s="16">
        <v>75.900000000000006</v>
      </c>
      <c r="L1217" s="19">
        <v>0.90800000000000003</v>
      </c>
      <c r="M1217" s="19">
        <v>3.4000000000000002E-2</v>
      </c>
      <c r="N1217" s="21">
        <v>66282.210000000006</v>
      </c>
      <c r="O1217" s="21">
        <v>41195.78</v>
      </c>
      <c r="P1217" s="26">
        <v>25086.43</v>
      </c>
    </row>
    <row r="1218" spans="1:16" x14ac:dyDescent="0.3">
      <c r="A1218" s="25">
        <v>1217</v>
      </c>
      <c r="B1218" s="16" t="s">
        <v>59</v>
      </c>
      <c r="C1218" s="16">
        <v>2025</v>
      </c>
      <c r="D1218" s="16" t="s">
        <v>38</v>
      </c>
      <c r="E1218" s="16" t="s">
        <v>27</v>
      </c>
      <c r="F1218" s="16" t="s">
        <v>29</v>
      </c>
      <c r="G1218" s="16">
        <v>55</v>
      </c>
      <c r="H1218" s="16">
        <v>8151</v>
      </c>
      <c r="I1218" s="16">
        <v>304.8</v>
      </c>
      <c r="J1218" s="19">
        <v>0.61199999999999999</v>
      </c>
      <c r="K1218" s="16">
        <v>85.9</v>
      </c>
      <c r="L1218" s="19">
        <v>0.82</v>
      </c>
      <c r="M1218" s="19">
        <v>2.8000000000000001E-2</v>
      </c>
      <c r="N1218" s="21">
        <v>59227.66</v>
      </c>
      <c r="O1218" s="21">
        <v>44847.69</v>
      </c>
      <c r="P1218" s="26">
        <v>14379.97</v>
      </c>
    </row>
    <row r="1219" spans="1:16" x14ac:dyDescent="0.3">
      <c r="A1219" s="25">
        <v>1218</v>
      </c>
      <c r="B1219" s="16" t="s">
        <v>59</v>
      </c>
      <c r="C1219" s="16">
        <v>2025</v>
      </c>
      <c r="D1219" s="16" t="s">
        <v>38</v>
      </c>
      <c r="E1219" s="16" t="s">
        <v>35</v>
      </c>
      <c r="F1219" s="16" t="s">
        <v>29</v>
      </c>
      <c r="G1219" s="16">
        <v>42</v>
      </c>
      <c r="H1219" s="16">
        <v>4986</v>
      </c>
      <c r="I1219" s="16">
        <v>305</v>
      </c>
      <c r="J1219" s="19">
        <v>0.61299999999999999</v>
      </c>
      <c r="K1219" s="16">
        <v>78.5</v>
      </c>
      <c r="L1219" s="19">
        <v>0.85099999999999998</v>
      </c>
      <c r="M1219" s="19">
        <v>4.7E-2</v>
      </c>
      <c r="N1219" s="21">
        <v>49493.39</v>
      </c>
      <c r="O1219" s="21">
        <v>32285.06</v>
      </c>
      <c r="P1219" s="26">
        <v>17208.330000000002</v>
      </c>
    </row>
    <row r="1220" spans="1:16" x14ac:dyDescent="0.3">
      <c r="A1220" s="25">
        <v>1219</v>
      </c>
      <c r="B1220" s="16" t="s">
        <v>59</v>
      </c>
      <c r="C1220" s="16">
        <v>2025</v>
      </c>
      <c r="D1220" s="16" t="s">
        <v>38</v>
      </c>
      <c r="E1220" s="16" t="s">
        <v>34</v>
      </c>
      <c r="F1220" s="16" t="s">
        <v>33</v>
      </c>
      <c r="G1220" s="16">
        <v>52</v>
      </c>
      <c r="H1220" s="16">
        <v>7016</v>
      </c>
      <c r="I1220" s="16">
        <v>549.70000000000005</v>
      </c>
      <c r="J1220" s="19">
        <v>0.91100000000000003</v>
      </c>
      <c r="K1220" s="16">
        <v>84.6</v>
      </c>
      <c r="L1220" s="19">
        <v>0.90600000000000003</v>
      </c>
      <c r="M1220" s="19">
        <v>3.5999999999999997E-2</v>
      </c>
      <c r="N1220" s="21">
        <v>80150.080000000002</v>
      </c>
      <c r="O1220" s="21">
        <v>54119.35</v>
      </c>
      <c r="P1220" s="26">
        <v>26030.73</v>
      </c>
    </row>
    <row r="1221" spans="1:16" x14ac:dyDescent="0.3">
      <c r="A1221" s="25">
        <v>1220</v>
      </c>
      <c r="B1221" s="16" t="s">
        <v>59</v>
      </c>
      <c r="C1221" s="16">
        <v>2025</v>
      </c>
      <c r="D1221" s="16" t="s">
        <v>38</v>
      </c>
      <c r="E1221" s="16" t="s">
        <v>27</v>
      </c>
      <c r="F1221" s="16" t="s">
        <v>36</v>
      </c>
      <c r="G1221" s="16">
        <v>44</v>
      </c>
      <c r="H1221" s="16">
        <v>5530</v>
      </c>
      <c r="I1221" s="16">
        <v>785.6</v>
      </c>
      <c r="J1221" s="19">
        <v>0.626</v>
      </c>
      <c r="K1221" s="16">
        <v>85.5</v>
      </c>
      <c r="L1221" s="19">
        <v>0.88100000000000001</v>
      </c>
      <c r="M1221" s="19">
        <v>3.7999999999999999E-2</v>
      </c>
      <c r="N1221" s="21">
        <v>63876.26</v>
      </c>
      <c r="O1221" s="21">
        <v>44241.599999999999</v>
      </c>
      <c r="P1221" s="26">
        <v>19634.66</v>
      </c>
    </row>
    <row r="1222" spans="1:16" x14ac:dyDescent="0.3">
      <c r="A1222" s="25">
        <v>1221</v>
      </c>
      <c r="B1222" s="16" t="s">
        <v>59</v>
      </c>
      <c r="C1222" s="16">
        <v>2025</v>
      </c>
      <c r="D1222" s="16" t="s">
        <v>38</v>
      </c>
      <c r="E1222" s="16" t="s">
        <v>30</v>
      </c>
      <c r="F1222" s="16" t="s">
        <v>36</v>
      </c>
      <c r="G1222" s="16">
        <v>45</v>
      </c>
      <c r="H1222" s="16">
        <v>6978</v>
      </c>
      <c r="I1222" s="16">
        <v>899.3</v>
      </c>
      <c r="J1222" s="19">
        <v>0.61399999999999999</v>
      </c>
      <c r="K1222" s="16">
        <v>83.5</v>
      </c>
      <c r="L1222" s="19">
        <v>0.97899999999999998</v>
      </c>
      <c r="M1222" s="19">
        <v>3.9E-2</v>
      </c>
      <c r="N1222" s="21">
        <v>61430.91</v>
      </c>
      <c r="O1222" s="21">
        <v>45740.72</v>
      </c>
      <c r="P1222" s="26">
        <v>15690.19</v>
      </c>
    </row>
    <row r="1223" spans="1:16" x14ac:dyDescent="0.3">
      <c r="A1223" s="25">
        <v>1222</v>
      </c>
      <c r="B1223" s="16" t="s">
        <v>59</v>
      </c>
      <c r="C1223" s="16">
        <v>2025</v>
      </c>
      <c r="D1223" s="16" t="s">
        <v>38</v>
      </c>
      <c r="E1223" s="16" t="s">
        <v>34</v>
      </c>
      <c r="F1223" s="16" t="s">
        <v>36</v>
      </c>
      <c r="G1223" s="16">
        <v>56</v>
      </c>
      <c r="H1223" s="16">
        <v>8196</v>
      </c>
      <c r="I1223" s="16">
        <v>959.1</v>
      </c>
      <c r="J1223" s="19">
        <v>0.74299999999999999</v>
      </c>
      <c r="K1223" s="16">
        <v>91.5</v>
      </c>
      <c r="L1223" s="19">
        <v>0.84799999999999998</v>
      </c>
      <c r="M1223" s="19">
        <v>0.02</v>
      </c>
      <c r="N1223" s="21">
        <v>68518.98</v>
      </c>
      <c r="O1223" s="21">
        <v>50317.29</v>
      </c>
      <c r="P1223" s="26">
        <v>18201.689999999999</v>
      </c>
    </row>
    <row r="1224" spans="1:16" x14ac:dyDescent="0.3">
      <c r="A1224" s="25">
        <v>1223</v>
      </c>
      <c r="B1224" s="16" t="s">
        <v>59</v>
      </c>
      <c r="C1224" s="16">
        <v>2025</v>
      </c>
      <c r="D1224" s="16" t="s">
        <v>38</v>
      </c>
      <c r="E1224" s="16" t="s">
        <v>35</v>
      </c>
      <c r="F1224" s="16" t="s">
        <v>36</v>
      </c>
      <c r="G1224" s="16">
        <v>60</v>
      </c>
      <c r="H1224" s="16">
        <v>7184</v>
      </c>
      <c r="I1224" s="16">
        <v>984.7</v>
      </c>
      <c r="J1224" s="19">
        <v>0.627</v>
      </c>
      <c r="K1224" s="16">
        <v>90.1</v>
      </c>
      <c r="L1224" s="19">
        <v>0.86299999999999999</v>
      </c>
      <c r="M1224" s="19">
        <v>2.1999999999999999E-2</v>
      </c>
      <c r="N1224" s="21">
        <v>81273.56</v>
      </c>
      <c r="O1224" s="21">
        <v>54298.81</v>
      </c>
      <c r="P1224" s="26">
        <v>26974.75</v>
      </c>
    </row>
    <row r="1225" spans="1:16" x14ac:dyDescent="0.3">
      <c r="A1225" s="25">
        <v>1224</v>
      </c>
      <c r="B1225" s="16" t="s">
        <v>59</v>
      </c>
      <c r="C1225" s="16">
        <v>2025</v>
      </c>
      <c r="D1225" s="16" t="s">
        <v>38</v>
      </c>
      <c r="E1225" s="16" t="s">
        <v>32</v>
      </c>
      <c r="F1225" s="16" t="s">
        <v>37</v>
      </c>
      <c r="G1225" s="16">
        <v>67</v>
      </c>
      <c r="H1225" s="16">
        <v>11211</v>
      </c>
      <c r="I1225" s="16">
        <v>622.5</v>
      </c>
      <c r="J1225" s="19">
        <v>0.77600000000000002</v>
      </c>
      <c r="K1225" s="16">
        <v>74.7</v>
      </c>
      <c r="L1225" s="19">
        <v>0.92900000000000005</v>
      </c>
      <c r="M1225" s="19">
        <v>2.5999999999999999E-2</v>
      </c>
      <c r="N1225" s="21">
        <v>84078.74</v>
      </c>
      <c r="O1225" s="21">
        <v>53382.45</v>
      </c>
      <c r="P1225" s="26">
        <v>30696.29</v>
      </c>
    </row>
    <row r="1226" spans="1:16" x14ac:dyDescent="0.3">
      <c r="A1226" s="25">
        <v>1225</v>
      </c>
      <c r="B1226" s="16" t="s">
        <v>59</v>
      </c>
      <c r="C1226" s="16">
        <v>2025</v>
      </c>
      <c r="D1226" s="16" t="s">
        <v>38</v>
      </c>
      <c r="E1226" s="16" t="s">
        <v>27</v>
      </c>
      <c r="F1226" s="16" t="s">
        <v>37</v>
      </c>
      <c r="G1226" s="16">
        <v>53</v>
      </c>
      <c r="H1226" s="16">
        <v>8080</v>
      </c>
      <c r="I1226" s="16">
        <v>652.5</v>
      </c>
      <c r="J1226" s="19">
        <v>0.73</v>
      </c>
      <c r="K1226" s="16">
        <v>80.900000000000006</v>
      </c>
      <c r="L1226" s="19">
        <v>0.96899999999999997</v>
      </c>
      <c r="M1226" s="19">
        <v>3.4000000000000002E-2</v>
      </c>
      <c r="N1226" s="21">
        <v>79823.899999999994</v>
      </c>
      <c r="O1226" s="21">
        <v>52630.18</v>
      </c>
      <c r="P1226" s="26">
        <v>27193.72</v>
      </c>
    </row>
    <row r="1227" spans="1:16" x14ac:dyDescent="0.3">
      <c r="A1227" s="25">
        <v>1226</v>
      </c>
      <c r="B1227" s="16" t="s">
        <v>59</v>
      </c>
      <c r="C1227" s="16">
        <v>2025</v>
      </c>
      <c r="D1227" s="16" t="s">
        <v>38</v>
      </c>
      <c r="E1227" s="16" t="s">
        <v>30</v>
      </c>
      <c r="F1227" s="16" t="s">
        <v>37</v>
      </c>
      <c r="G1227" s="16">
        <v>58</v>
      </c>
      <c r="H1227" s="16">
        <v>7641</v>
      </c>
      <c r="I1227" s="16">
        <v>608.70000000000005</v>
      </c>
      <c r="J1227" s="19">
        <v>0.67600000000000005</v>
      </c>
      <c r="K1227" s="16">
        <v>77.5</v>
      </c>
      <c r="L1227" s="19">
        <v>0.94899999999999995</v>
      </c>
      <c r="M1227" s="19">
        <v>0.04</v>
      </c>
      <c r="N1227" s="21">
        <v>55318.720000000001</v>
      </c>
      <c r="O1227" s="21">
        <v>36819.86</v>
      </c>
      <c r="P1227" s="26">
        <v>18498.86</v>
      </c>
    </row>
    <row r="1228" spans="1:16" x14ac:dyDescent="0.3">
      <c r="A1228" s="25">
        <v>1227</v>
      </c>
      <c r="B1228" s="16" t="s">
        <v>59</v>
      </c>
      <c r="C1228" s="16">
        <v>2025</v>
      </c>
      <c r="D1228" s="16" t="s">
        <v>38</v>
      </c>
      <c r="E1228" s="16" t="s">
        <v>31</v>
      </c>
      <c r="F1228" s="16" t="s">
        <v>37</v>
      </c>
      <c r="G1228" s="16">
        <v>36</v>
      </c>
      <c r="H1228" s="16">
        <v>4121</v>
      </c>
      <c r="I1228" s="16">
        <v>573.1</v>
      </c>
      <c r="J1228" s="19">
        <v>0.72399999999999998</v>
      </c>
      <c r="K1228" s="16">
        <v>72.099999999999994</v>
      </c>
      <c r="L1228" s="19">
        <v>0.91700000000000004</v>
      </c>
      <c r="M1228" s="19">
        <v>2.1000000000000001E-2</v>
      </c>
      <c r="N1228" s="21">
        <v>49236.68</v>
      </c>
      <c r="O1228" s="21">
        <v>34547.410000000003</v>
      </c>
      <c r="P1228" s="26">
        <v>14689.27</v>
      </c>
    </row>
    <row r="1229" spans="1:16" x14ac:dyDescent="0.3">
      <c r="A1229" s="25">
        <v>1228</v>
      </c>
      <c r="B1229" s="16" t="s">
        <v>59</v>
      </c>
      <c r="C1229" s="16">
        <v>2025</v>
      </c>
      <c r="D1229" s="16" t="s">
        <v>38</v>
      </c>
      <c r="E1229" s="16" t="s">
        <v>35</v>
      </c>
      <c r="F1229" s="16" t="s">
        <v>37</v>
      </c>
      <c r="G1229" s="16">
        <v>43</v>
      </c>
      <c r="H1229" s="16">
        <v>5458</v>
      </c>
      <c r="I1229" s="16">
        <v>634.6</v>
      </c>
      <c r="J1229" s="19">
        <v>0.66300000000000003</v>
      </c>
      <c r="K1229" s="16">
        <v>72.5</v>
      </c>
      <c r="L1229" s="19">
        <v>0.878</v>
      </c>
      <c r="M1229" s="19">
        <v>2.4E-2</v>
      </c>
      <c r="N1229" s="21">
        <v>49506.97</v>
      </c>
      <c r="O1229" s="21">
        <v>37715.879999999997</v>
      </c>
      <c r="P1229" s="26">
        <v>11791.09</v>
      </c>
    </row>
    <row r="1230" spans="1:16" x14ac:dyDescent="0.3">
      <c r="A1230" s="25">
        <v>1229</v>
      </c>
      <c r="B1230" s="16" t="s">
        <v>59</v>
      </c>
      <c r="C1230" s="16">
        <v>2025</v>
      </c>
      <c r="D1230" s="16" t="s">
        <v>39</v>
      </c>
      <c r="E1230" s="16" t="s">
        <v>27</v>
      </c>
      <c r="F1230" s="16" t="s">
        <v>28</v>
      </c>
      <c r="G1230" s="16">
        <v>28</v>
      </c>
      <c r="H1230" s="16">
        <v>5141</v>
      </c>
      <c r="I1230" s="16">
        <v>393.7</v>
      </c>
      <c r="J1230" s="19">
        <v>0.70099999999999996</v>
      </c>
      <c r="K1230" s="16">
        <v>72.3</v>
      </c>
      <c r="L1230" s="19">
        <v>0.88</v>
      </c>
      <c r="M1230" s="19">
        <v>4.1000000000000002E-2</v>
      </c>
      <c r="N1230" s="21">
        <v>38706.75</v>
      </c>
      <c r="O1230" s="21">
        <v>29446.65</v>
      </c>
      <c r="P1230" s="26">
        <v>9260.1</v>
      </c>
    </row>
    <row r="1231" spans="1:16" x14ac:dyDescent="0.3">
      <c r="A1231" s="25">
        <v>1230</v>
      </c>
      <c r="B1231" s="16" t="s">
        <v>59</v>
      </c>
      <c r="C1231" s="16">
        <v>2025</v>
      </c>
      <c r="D1231" s="16" t="s">
        <v>39</v>
      </c>
      <c r="E1231" s="16" t="s">
        <v>34</v>
      </c>
      <c r="F1231" s="16" t="s">
        <v>28</v>
      </c>
      <c r="G1231" s="16">
        <v>67</v>
      </c>
      <c r="H1231" s="16">
        <v>9881</v>
      </c>
      <c r="I1231" s="16">
        <v>374.1</v>
      </c>
      <c r="J1231" s="19">
        <v>0.94799999999999995</v>
      </c>
      <c r="K1231" s="16">
        <v>82</v>
      </c>
      <c r="L1231" s="19">
        <v>0.93200000000000005</v>
      </c>
      <c r="M1231" s="19">
        <v>3.4000000000000002E-2</v>
      </c>
      <c r="N1231" s="21">
        <v>127020.53</v>
      </c>
      <c r="O1231" s="21">
        <v>89832.8</v>
      </c>
      <c r="P1231" s="26">
        <v>37187.730000000003</v>
      </c>
    </row>
    <row r="1232" spans="1:16" x14ac:dyDescent="0.3">
      <c r="A1232" s="25">
        <v>1231</v>
      </c>
      <c r="B1232" s="16" t="s">
        <v>59</v>
      </c>
      <c r="C1232" s="16">
        <v>2025</v>
      </c>
      <c r="D1232" s="16" t="s">
        <v>39</v>
      </c>
      <c r="E1232" s="16" t="s">
        <v>31</v>
      </c>
      <c r="F1232" s="16" t="s">
        <v>28</v>
      </c>
      <c r="G1232" s="16">
        <v>34</v>
      </c>
      <c r="H1232" s="16">
        <v>6301</v>
      </c>
      <c r="I1232" s="16">
        <v>392</v>
      </c>
      <c r="J1232" s="19">
        <v>0.79900000000000004</v>
      </c>
      <c r="K1232" s="16">
        <v>73.7</v>
      </c>
      <c r="L1232" s="19">
        <v>0.88200000000000001</v>
      </c>
      <c r="M1232" s="19">
        <v>0.04</v>
      </c>
      <c r="N1232" s="21">
        <v>45071.5</v>
      </c>
      <c r="O1232" s="21">
        <v>32715.25</v>
      </c>
      <c r="P1232" s="26">
        <v>12356.25</v>
      </c>
    </row>
    <row r="1233" spans="1:16" x14ac:dyDescent="0.3">
      <c r="A1233" s="25">
        <v>1232</v>
      </c>
      <c r="B1233" s="16" t="s">
        <v>59</v>
      </c>
      <c r="C1233" s="16">
        <v>2025</v>
      </c>
      <c r="D1233" s="16" t="s">
        <v>39</v>
      </c>
      <c r="E1233" s="16" t="s">
        <v>35</v>
      </c>
      <c r="F1233" s="16" t="s">
        <v>28</v>
      </c>
      <c r="G1233" s="16">
        <v>73</v>
      </c>
      <c r="H1233" s="16">
        <v>8747</v>
      </c>
      <c r="I1233" s="16">
        <v>482.9</v>
      </c>
      <c r="J1233" s="19">
        <v>0.76200000000000001</v>
      </c>
      <c r="K1233" s="16">
        <v>91.3</v>
      </c>
      <c r="L1233" s="19">
        <v>0.91500000000000004</v>
      </c>
      <c r="M1233" s="19">
        <v>3.5999999999999997E-2</v>
      </c>
      <c r="N1233" s="21">
        <v>110987.76</v>
      </c>
      <c r="O1233" s="21">
        <v>69782.38</v>
      </c>
      <c r="P1233" s="26">
        <v>41205.379999999997</v>
      </c>
    </row>
    <row r="1234" spans="1:16" x14ac:dyDescent="0.3">
      <c r="A1234" s="25">
        <v>1233</v>
      </c>
      <c r="B1234" s="16" t="s">
        <v>59</v>
      </c>
      <c r="C1234" s="16">
        <v>2025</v>
      </c>
      <c r="D1234" s="16" t="s">
        <v>39</v>
      </c>
      <c r="E1234" s="16" t="s">
        <v>35</v>
      </c>
      <c r="F1234" s="16" t="s">
        <v>29</v>
      </c>
      <c r="G1234" s="16">
        <v>46</v>
      </c>
      <c r="H1234" s="16">
        <v>7163</v>
      </c>
      <c r="I1234" s="16">
        <v>321</v>
      </c>
      <c r="J1234" s="19">
        <v>0.78</v>
      </c>
      <c r="K1234" s="16">
        <v>80.3</v>
      </c>
      <c r="L1234" s="19">
        <v>0.90400000000000003</v>
      </c>
      <c r="M1234" s="19">
        <v>4.2000000000000003E-2</v>
      </c>
      <c r="N1234" s="21">
        <v>87317.09</v>
      </c>
      <c r="O1234" s="21">
        <v>66751.039999999994</v>
      </c>
      <c r="P1234" s="26">
        <v>20566.05</v>
      </c>
    </row>
    <row r="1235" spans="1:16" x14ac:dyDescent="0.3">
      <c r="A1235" s="25">
        <v>1234</v>
      </c>
      <c r="B1235" s="16" t="s">
        <v>59</v>
      </c>
      <c r="C1235" s="16">
        <v>2025</v>
      </c>
      <c r="D1235" s="16" t="s">
        <v>39</v>
      </c>
      <c r="E1235" s="16" t="s">
        <v>32</v>
      </c>
      <c r="F1235" s="16" t="s">
        <v>33</v>
      </c>
      <c r="G1235" s="16">
        <v>89</v>
      </c>
      <c r="H1235" s="16">
        <v>14046</v>
      </c>
      <c r="I1235" s="16">
        <v>440.3</v>
      </c>
      <c r="J1235" s="19">
        <v>0.70699999999999996</v>
      </c>
      <c r="K1235" s="16">
        <v>84.4</v>
      </c>
      <c r="L1235" s="19">
        <v>0.94199999999999995</v>
      </c>
      <c r="M1235" s="19">
        <v>3.5000000000000003E-2</v>
      </c>
      <c r="N1235" s="21">
        <v>136213.23000000001</v>
      </c>
      <c r="O1235" s="21">
        <v>85501.61</v>
      </c>
      <c r="P1235" s="26">
        <v>50711.62</v>
      </c>
    </row>
    <row r="1236" spans="1:16" x14ac:dyDescent="0.3">
      <c r="A1236" s="25">
        <v>1235</v>
      </c>
      <c r="B1236" s="16" t="s">
        <v>59</v>
      </c>
      <c r="C1236" s="16">
        <v>2025</v>
      </c>
      <c r="D1236" s="16" t="s">
        <v>39</v>
      </c>
      <c r="E1236" s="16" t="s">
        <v>30</v>
      </c>
      <c r="F1236" s="16" t="s">
        <v>33</v>
      </c>
      <c r="G1236" s="16">
        <v>82</v>
      </c>
      <c r="H1236" s="16">
        <v>12917</v>
      </c>
      <c r="I1236" s="16">
        <v>461.9</v>
      </c>
      <c r="J1236" s="19">
        <v>0.80900000000000005</v>
      </c>
      <c r="K1236" s="16">
        <v>81.8</v>
      </c>
      <c r="L1236" s="19">
        <v>0.82</v>
      </c>
      <c r="M1236" s="19">
        <v>3.3000000000000002E-2</v>
      </c>
      <c r="N1236" s="21">
        <v>103271.96</v>
      </c>
      <c r="O1236" s="21">
        <v>77334.509999999995</v>
      </c>
      <c r="P1236" s="26">
        <v>25937.45</v>
      </c>
    </row>
    <row r="1237" spans="1:16" x14ac:dyDescent="0.3">
      <c r="A1237" s="25">
        <v>1236</v>
      </c>
      <c r="B1237" s="16" t="s">
        <v>59</v>
      </c>
      <c r="C1237" s="16">
        <v>2025</v>
      </c>
      <c r="D1237" s="16" t="s">
        <v>39</v>
      </c>
      <c r="E1237" s="16" t="s">
        <v>34</v>
      </c>
      <c r="F1237" s="16" t="s">
        <v>33</v>
      </c>
      <c r="G1237" s="16">
        <v>81</v>
      </c>
      <c r="H1237" s="16">
        <v>10775</v>
      </c>
      <c r="I1237" s="16">
        <v>538.5</v>
      </c>
      <c r="J1237" s="19">
        <v>0.81899999999999995</v>
      </c>
      <c r="K1237" s="16">
        <v>80.5</v>
      </c>
      <c r="L1237" s="19">
        <v>0.95699999999999996</v>
      </c>
      <c r="M1237" s="19">
        <v>4.3999999999999997E-2</v>
      </c>
      <c r="N1237" s="21">
        <v>149783.57999999999</v>
      </c>
      <c r="O1237" s="21">
        <v>115953.9</v>
      </c>
      <c r="P1237" s="26">
        <v>33829.68</v>
      </c>
    </row>
    <row r="1238" spans="1:16" x14ac:dyDescent="0.3">
      <c r="A1238" s="25">
        <v>1237</v>
      </c>
      <c r="B1238" s="16" t="s">
        <v>59</v>
      </c>
      <c r="C1238" s="16">
        <v>2025</v>
      </c>
      <c r="D1238" s="16" t="s">
        <v>39</v>
      </c>
      <c r="E1238" s="16" t="s">
        <v>35</v>
      </c>
      <c r="F1238" s="16" t="s">
        <v>33</v>
      </c>
      <c r="G1238" s="16">
        <v>51</v>
      </c>
      <c r="H1238" s="16">
        <v>6202</v>
      </c>
      <c r="I1238" s="16">
        <v>494.3</v>
      </c>
      <c r="J1238" s="19">
        <v>0.61199999999999999</v>
      </c>
      <c r="K1238" s="16">
        <v>73.7</v>
      </c>
      <c r="L1238" s="19">
        <v>0.86699999999999999</v>
      </c>
      <c r="M1238" s="19">
        <v>3.7999999999999999E-2</v>
      </c>
      <c r="N1238" s="21">
        <v>57570.18</v>
      </c>
      <c r="O1238" s="21">
        <v>36147.440000000002</v>
      </c>
      <c r="P1238" s="26">
        <v>21422.74</v>
      </c>
    </row>
    <row r="1239" spans="1:16" x14ac:dyDescent="0.3">
      <c r="A1239" s="25">
        <v>1238</v>
      </c>
      <c r="B1239" s="16" t="s">
        <v>59</v>
      </c>
      <c r="C1239" s="16">
        <v>2025</v>
      </c>
      <c r="D1239" s="16" t="s">
        <v>39</v>
      </c>
      <c r="E1239" s="16" t="s">
        <v>32</v>
      </c>
      <c r="F1239" s="16" t="s">
        <v>36</v>
      </c>
      <c r="G1239" s="16">
        <v>70</v>
      </c>
      <c r="H1239" s="16">
        <v>10784</v>
      </c>
      <c r="I1239" s="16">
        <v>934.9</v>
      </c>
      <c r="J1239" s="19">
        <v>0.69</v>
      </c>
      <c r="K1239" s="16">
        <v>95.4</v>
      </c>
      <c r="L1239" s="19">
        <v>1</v>
      </c>
      <c r="M1239" s="19">
        <v>2.4E-2</v>
      </c>
      <c r="N1239" s="21">
        <v>98272.26</v>
      </c>
      <c r="O1239" s="21">
        <v>69838.649999999994</v>
      </c>
      <c r="P1239" s="26">
        <v>28433.61</v>
      </c>
    </row>
    <row r="1240" spans="1:16" x14ac:dyDescent="0.3">
      <c r="A1240" s="25">
        <v>1239</v>
      </c>
      <c r="B1240" s="16" t="s">
        <v>59</v>
      </c>
      <c r="C1240" s="16">
        <v>2025</v>
      </c>
      <c r="D1240" s="16" t="s">
        <v>39</v>
      </c>
      <c r="E1240" s="16" t="s">
        <v>34</v>
      </c>
      <c r="F1240" s="16" t="s">
        <v>36</v>
      </c>
      <c r="G1240" s="16">
        <v>34</v>
      </c>
      <c r="H1240" s="16">
        <v>5016</v>
      </c>
      <c r="I1240" s="16">
        <v>914</v>
      </c>
      <c r="J1240" s="19">
        <v>0.55200000000000005</v>
      </c>
      <c r="K1240" s="16">
        <v>87.3</v>
      </c>
      <c r="L1240" s="19">
        <v>0.82</v>
      </c>
      <c r="M1240" s="19">
        <v>2.5000000000000001E-2</v>
      </c>
      <c r="N1240" s="21">
        <v>46726.94</v>
      </c>
      <c r="O1240" s="21">
        <v>35290.69</v>
      </c>
      <c r="P1240" s="26">
        <v>11436.25</v>
      </c>
    </row>
    <row r="1241" spans="1:16" x14ac:dyDescent="0.3">
      <c r="A1241" s="25">
        <v>1240</v>
      </c>
      <c r="B1241" s="16" t="s">
        <v>59</v>
      </c>
      <c r="C1241" s="16">
        <v>2025</v>
      </c>
      <c r="D1241" s="16" t="s">
        <v>39</v>
      </c>
      <c r="E1241" s="16" t="s">
        <v>32</v>
      </c>
      <c r="F1241" s="16" t="s">
        <v>37</v>
      </c>
      <c r="G1241" s="16">
        <v>46</v>
      </c>
      <c r="H1241" s="16">
        <v>7218</v>
      </c>
      <c r="I1241" s="16">
        <v>643.5</v>
      </c>
      <c r="J1241" s="19">
        <v>0.629</v>
      </c>
      <c r="K1241" s="16">
        <v>82</v>
      </c>
      <c r="L1241" s="19">
        <v>0.90200000000000002</v>
      </c>
      <c r="M1241" s="19">
        <v>2.9000000000000001E-2</v>
      </c>
      <c r="N1241" s="21">
        <v>70175.899999999994</v>
      </c>
      <c r="O1241" s="21">
        <v>49855.5</v>
      </c>
      <c r="P1241" s="26">
        <v>20320.400000000001</v>
      </c>
    </row>
    <row r="1242" spans="1:16" x14ac:dyDescent="0.3">
      <c r="A1242" s="25">
        <v>1241</v>
      </c>
      <c r="B1242" s="16" t="s">
        <v>59</v>
      </c>
      <c r="C1242" s="16">
        <v>2025</v>
      </c>
      <c r="D1242" s="16" t="s">
        <v>39</v>
      </c>
      <c r="E1242" s="16" t="s">
        <v>31</v>
      </c>
      <c r="F1242" s="16" t="s">
        <v>37</v>
      </c>
      <c r="G1242" s="16">
        <v>29</v>
      </c>
      <c r="H1242" s="16">
        <v>4643</v>
      </c>
      <c r="I1242" s="16">
        <v>675.7</v>
      </c>
      <c r="J1242" s="19">
        <v>0.61699999999999999</v>
      </c>
      <c r="K1242" s="16">
        <v>80.400000000000006</v>
      </c>
      <c r="L1242" s="19">
        <v>0.96099999999999997</v>
      </c>
      <c r="M1242" s="19">
        <v>3.5000000000000003E-2</v>
      </c>
      <c r="N1242" s="21">
        <v>28820.17</v>
      </c>
      <c r="O1242" s="21">
        <v>19301.5</v>
      </c>
      <c r="P1242" s="26">
        <v>9518.67</v>
      </c>
    </row>
    <row r="1243" spans="1:16" x14ac:dyDescent="0.3">
      <c r="A1243" s="25">
        <v>1242</v>
      </c>
      <c r="B1243" s="16" t="s">
        <v>59</v>
      </c>
      <c r="C1243" s="16">
        <v>2025</v>
      </c>
      <c r="D1243" s="16" t="s">
        <v>39</v>
      </c>
      <c r="E1243" s="16" t="s">
        <v>35</v>
      </c>
      <c r="F1243" s="16" t="s">
        <v>37</v>
      </c>
      <c r="G1243" s="16">
        <v>60</v>
      </c>
      <c r="H1243" s="16">
        <v>10444</v>
      </c>
      <c r="I1243" s="16">
        <v>735.5</v>
      </c>
      <c r="J1243" s="19">
        <v>0.60599999999999998</v>
      </c>
      <c r="K1243" s="16">
        <v>78.3</v>
      </c>
      <c r="L1243" s="19">
        <v>0.94099999999999995</v>
      </c>
      <c r="M1243" s="19">
        <v>0.03</v>
      </c>
      <c r="N1243" s="21">
        <v>76026.259999999995</v>
      </c>
      <c r="O1243" s="21">
        <v>54754.73</v>
      </c>
      <c r="P1243" s="26">
        <v>21271.53</v>
      </c>
    </row>
    <row r="1244" spans="1:16" x14ac:dyDescent="0.3">
      <c r="A1244" s="25">
        <v>1243</v>
      </c>
      <c r="B1244" s="16" t="s">
        <v>59</v>
      </c>
      <c r="C1244" s="16">
        <v>2025</v>
      </c>
      <c r="D1244" s="16" t="s">
        <v>40</v>
      </c>
      <c r="E1244" s="16" t="s">
        <v>27</v>
      </c>
      <c r="F1244" s="16" t="s">
        <v>28</v>
      </c>
      <c r="G1244" s="16">
        <v>34</v>
      </c>
      <c r="H1244" s="16">
        <v>4518</v>
      </c>
      <c r="I1244" s="16">
        <v>446</v>
      </c>
      <c r="J1244" s="19">
        <v>0.67800000000000005</v>
      </c>
      <c r="K1244" s="16">
        <v>80.099999999999994</v>
      </c>
      <c r="L1244" s="19">
        <v>0.84199999999999997</v>
      </c>
      <c r="M1244" s="19">
        <v>5.5E-2</v>
      </c>
      <c r="N1244" s="21">
        <v>52431.11</v>
      </c>
      <c r="O1244" s="21">
        <v>39068.01</v>
      </c>
      <c r="P1244" s="26">
        <v>13363.1</v>
      </c>
    </row>
    <row r="1245" spans="1:16" x14ac:dyDescent="0.3">
      <c r="A1245" s="25">
        <v>1244</v>
      </c>
      <c r="B1245" s="16" t="s">
        <v>59</v>
      </c>
      <c r="C1245" s="16">
        <v>2025</v>
      </c>
      <c r="D1245" s="16" t="s">
        <v>40</v>
      </c>
      <c r="E1245" s="16" t="s">
        <v>34</v>
      </c>
      <c r="F1245" s="16" t="s">
        <v>28</v>
      </c>
      <c r="G1245" s="16">
        <v>70</v>
      </c>
      <c r="H1245" s="16">
        <v>11814</v>
      </c>
      <c r="I1245" s="16">
        <v>503</v>
      </c>
      <c r="J1245" s="19">
        <v>0.76600000000000001</v>
      </c>
      <c r="K1245" s="16">
        <v>90.9</v>
      </c>
      <c r="L1245" s="19">
        <v>0.90500000000000003</v>
      </c>
      <c r="M1245" s="19">
        <v>0.03</v>
      </c>
      <c r="N1245" s="21">
        <v>106483.06</v>
      </c>
      <c r="O1245" s="21">
        <v>74218.58</v>
      </c>
      <c r="P1245" s="26">
        <v>32264.48</v>
      </c>
    </row>
    <row r="1246" spans="1:16" x14ac:dyDescent="0.3">
      <c r="A1246" s="25">
        <v>1245</v>
      </c>
      <c r="B1246" s="16" t="s">
        <v>59</v>
      </c>
      <c r="C1246" s="16">
        <v>2025</v>
      </c>
      <c r="D1246" s="16" t="s">
        <v>40</v>
      </c>
      <c r="E1246" s="16" t="s">
        <v>31</v>
      </c>
      <c r="F1246" s="16" t="s">
        <v>28</v>
      </c>
      <c r="G1246" s="16">
        <v>48</v>
      </c>
      <c r="H1246" s="16">
        <v>5269</v>
      </c>
      <c r="I1246" s="16">
        <v>414.1</v>
      </c>
      <c r="J1246" s="19">
        <v>0.79600000000000004</v>
      </c>
      <c r="K1246" s="16">
        <v>79.2</v>
      </c>
      <c r="L1246" s="19">
        <v>0.78900000000000003</v>
      </c>
      <c r="M1246" s="19">
        <v>1.4999999999999999E-2</v>
      </c>
      <c r="N1246" s="21">
        <v>66028.12</v>
      </c>
      <c r="O1246" s="21">
        <v>44890.81</v>
      </c>
      <c r="P1246" s="26">
        <v>21137.31</v>
      </c>
    </row>
    <row r="1247" spans="1:16" x14ac:dyDescent="0.3">
      <c r="A1247" s="25">
        <v>1246</v>
      </c>
      <c r="B1247" s="16" t="s">
        <v>59</v>
      </c>
      <c r="C1247" s="16">
        <v>2025</v>
      </c>
      <c r="D1247" s="16" t="s">
        <v>40</v>
      </c>
      <c r="E1247" s="16" t="s">
        <v>35</v>
      </c>
      <c r="F1247" s="16" t="s">
        <v>28</v>
      </c>
      <c r="G1247" s="16">
        <v>62</v>
      </c>
      <c r="H1247" s="16">
        <v>10184</v>
      </c>
      <c r="I1247" s="16">
        <v>518.1</v>
      </c>
      <c r="J1247" s="19">
        <v>0.84199999999999997</v>
      </c>
      <c r="K1247" s="16">
        <v>87.8</v>
      </c>
      <c r="L1247" s="19">
        <v>0.9</v>
      </c>
      <c r="M1247" s="19">
        <v>2.9000000000000001E-2</v>
      </c>
      <c r="N1247" s="21">
        <v>107828.18</v>
      </c>
      <c r="O1247" s="21">
        <v>76264.27</v>
      </c>
      <c r="P1247" s="26">
        <v>31563.91</v>
      </c>
    </row>
    <row r="1248" spans="1:16" x14ac:dyDescent="0.3">
      <c r="A1248" s="25">
        <v>1247</v>
      </c>
      <c r="B1248" s="16" t="s">
        <v>59</v>
      </c>
      <c r="C1248" s="16">
        <v>2025</v>
      </c>
      <c r="D1248" s="16" t="s">
        <v>40</v>
      </c>
      <c r="E1248" s="16" t="s">
        <v>32</v>
      </c>
      <c r="F1248" s="16" t="s">
        <v>29</v>
      </c>
      <c r="G1248" s="16">
        <v>70</v>
      </c>
      <c r="H1248" s="16">
        <v>14093</v>
      </c>
      <c r="I1248" s="16">
        <v>302.8</v>
      </c>
      <c r="J1248" s="19">
        <v>0.65600000000000003</v>
      </c>
      <c r="K1248" s="16">
        <v>79.5</v>
      </c>
      <c r="L1248" s="19">
        <v>0.97299999999999998</v>
      </c>
      <c r="M1248" s="19">
        <v>2.5999999999999999E-2</v>
      </c>
      <c r="N1248" s="21">
        <v>92356.67</v>
      </c>
      <c r="O1248" s="21">
        <v>58903.57</v>
      </c>
      <c r="P1248" s="26">
        <v>33453.1</v>
      </c>
    </row>
    <row r="1249" spans="1:16" x14ac:dyDescent="0.3">
      <c r="A1249" s="25">
        <v>1248</v>
      </c>
      <c r="B1249" s="16" t="s">
        <v>59</v>
      </c>
      <c r="C1249" s="16">
        <v>2025</v>
      </c>
      <c r="D1249" s="16" t="s">
        <v>40</v>
      </c>
      <c r="E1249" s="16" t="s">
        <v>27</v>
      </c>
      <c r="F1249" s="16" t="s">
        <v>29</v>
      </c>
      <c r="G1249" s="16">
        <v>57</v>
      </c>
      <c r="H1249" s="16">
        <v>7905</v>
      </c>
      <c r="I1249" s="16">
        <v>251</v>
      </c>
      <c r="J1249" s="19">
        <v>0.67700000000000005</v>
      </c>
      <c r="K1249" s="16">
        <v>89.9</v>
      </c>
      <c r="L1249" s="19">
        <v>0.83799999999999997</v>
      </c>
      <c r="M1249" s="19">
        <v>2.1999999999999999E-2</v>
      </c>
      <c r="N1249" s="21">
        <v>95788.61</v>
      </c>
      <c r="O1249" s="21">
        <v>73172.789999999994</v>
      </c>
      <c r="P1249" s="26">
        <v>22615.82</v>
      </c>
    </row>
    <row r="1250" spans="1:16" x14ac:dyDescent="0.3">
      <c r="A1250" s="25">
        <v>1249</v>
      </c>
      <c r="B1250" s="16" t="s">
        <v>59</v>
      </c>
      <c r="C1250" s="16">
        <v>2025</v>
      </c>
      <c r="D1250" s="16" t="s">
        <v>40</v>
      </c>
      <c r="E1250" s="16" t="s">
        <v>35</v>
      </c>
      <c r="F1250" s="16" t="s">
        <v>29</v>
      </c>
      <c r="G1250" s="16">
        <v>51</v>
      </c>
      <c r="H1250" s="16">
        <v>6310</v>
      </c>
      <c r="I1250" s="16">
        <v>276.5</v>
      </c>
      <c r="J1250" s="19">
        <v>0.68799999999999994</v>
      </c>
      <c r="K1250" s="16">
        <v>72</v>
      </c>
      <c r="L1250" s="19">
        <v>0.92300000000000004</v>
      </c>
      <c r="M1250" s="19">
        <v>2.7E-2</v>
      </c>
      <c r="N1250" s="21">
        <v>83076.990000000005</v>
      </c>
      <c r="O1250" s="21">
        <v>62885.64</v>
      </c>
      <c r="P1250" s="26">
        <v>20191.349999999999</v>
      </c>
    </row>
    <row r="1251" spans="1:16" x14ac:dyDescent="0.3">
      <c r="A1251" s="25">
        <v>1250</v>
      </c>
      <c r="B1251" s="16" t="s">
        <v>59</v>
      </c>
      <c r="C1251" s="16">
        <v>2025</v>
      </c>
      <c r="D1251" s="16" t="s">
        <v>40</v>
      </c>
      <c r="E1251" s="16" t="s">
        <v>32</v>
      </c>
      <c r="F1251" s="16" t="s">
        <v>33</v>
      </c>
      <c r="G1251" s="16">
        <v>71</v>
      </c>
      <c r="H1251" s="16">
        <v>11643</v>
      </c>
      <c r="I1251" s="16">
        <v>393.5</v>
      </c>
      <c r="J1251" s="19">
        <v>0.79500000000000004</v>
      </c>
      <c r="K1251" s="16">
        <v>88.5</v>
      </c>
      <c r="L1251" s="19">
        <v>0.79600000000000004</v>
      </c>
      <c r="M1251" s="19">
        <v>2.8000000000000001E-2</v>
      </c>
      <c r="N1251" s="21">
        <v>94834.37</v>
      </c>
      <c r="O1251" s="21">
        <v>64691.26</v>
      </c>
      <c r="P1251" s="26">
        <v>30143.11</v>
      </c>
    </row>
    <row r="1252" spans="1:16" x14ac:dyDescent="0.3">
      <c r="A1252" s="25">
        <v>1251</v>
      </c>
      <c r="B1252" s="16" t="s">
        <v>59</v>
      </c>
      <c r="C1252" s="16">
        <v>2025</v>
      </c>
      <c r="D1252" s="16" t="s">
        <v>40</v>
      </c>
      <c r="E1252" s="16" t="s">
        <v>35</v>
      </c>
      <c r="F1252" s="16" t="s">
        <v>33</v>
      </c>
      <c r="G1252" s="16">
        <v>70</v>
      </c>
      <c r="H1252" s="16">
        <v>8328</v>
      </c>
      <c r="I1252" s="16">
        <v>458.8</v>
      </c>
      <c r="J1252" s="19">
        <v>0.746</v>
      </c>
      <c r="K1252" s="16">
        <v>80.5</v>
      </c>
      <c r="L1252" s="19">
        <v>0.88700000000000001</v>
      </c>
      <c r="M1252" s="19">
        <v>2.1000000000000001E-2</v>
      </c>
      <c r="N1252" s="21">
        <v>96669.3</v>
      </c>
      <c r="O1252" s="21">
        <v>60639.839999999997</v>
      </c>
      <c r="P1252" s="26">
        <v>36029.46</v>
      </c>
    </row>
    <row r="1253" spans="1:16" x14ac:dyDescent="0.3">
      <c r="A1253" s="25">
        <v>1252</v>
      </c>
      <c r="B1253" s="16" t="s">
        <v>59</v>
      </c>
      <c r="C1253" s="16">
        <v>2025</v>
      </c>
      <c r="D1253" s="16" t="s">
        <v>40</v>
      </c>
      <c r="E1253" s="16" t="s">
        <v>32</v>
      </c>
      <c r="F1253" s="16" t="s">
        <v>36</v>
      </c>
      <c r="G1253" s="16">
        <v>80</v>
      </c>
      <c r="H1253" s="16">
        <v>12399</v>
      </c>
      <c r="I1253" s="16">
        <v>919.2</v>
      </c>
      <c r="J1253" s="19">
        <v>0.73199999999999998</v>
      </c>
      <c r="K1253" s="16">
        <v>87.1</v>
      </c>
      <c r="L1253" s="19">
        <v>0.88100000000000001</v>
      </c>
      <c r="M1253" s="19">
        <v>2.4E-2</v>
      </c>
      <c r="N1253" s="21">
        <v>115215.82</v>
      </c>
      <c r="O1253" s="21">
        <v>84002.16</v>
      </c>
      <c r="P1253" s="26">
        <v>31213.66</v>
      </c>
    </row>
    <row r="1254" spans="1:16" x14ac:dyDescent="0.3">
      <c r="A1254" s="25">
        <v>1253</v>
      </c>
      <c r="B1254" s="16" t="s">
        <v>59</v>
      </c>
      <c r="C1254" s="16">
        <v>2025</v>
      </c>
      <c r="D1254" s="16" t="s">
        <v>40</v>
      </c>
      <c r="E1254" s="16" t="s">
        <v>27</v>
      </c>
      <c r="F1254" s="16" t="s">
        <v>36</v>
      </c>
      <c r="G1254" s="16">
        <v>45</v>
      </c>
      <c r="H1254" s="16">
        <v>7299</v>
      </c>
      <c r="I1254" s="16">
        <v>892.2</v>
      </c>
      <c r="J1254" s="19">
        <v>0.70199999999999996</v>
      </c>
      <c r="K1254" s="16">
        <v>81.599999999999994</v>
      </c>
      <c r="L1254" s="19">
        <v>0.98</v>
      </c>
      <c r="M1254" s="19">
        <v>2.3E-2</v>
      </c>
      <c r="N1254" s="21">
        <v>62279.88</v>
      </c>
      <c r="O1254" s="21">
        <v>40670.68</v>
      </c>
      <c r="P1254" s="26">
        <v>21609.200000000001</v>
      </c>
    </row>
    <row r="1255" spans="1:16" x14ac:dyDescent="0.3">
      <c r="A1255" s="25">
        <v>1254</v>
      </c>
      <c r="B1255" s="16" t="s">
        <v>59</v>
      </c>
      <c r="C1255" s="16">
        <v>2025</v>
      </c>
      <c r="D1255" s="16" t="s">
        <v>40</v>
      </c>
      <c r="E1255" s="16" t="s">
        <v>27</v>
      </c>
      <c r="F1255" s="16" t="s">
        <v>37</v>
      </c>
      <c r="G1255" s="16">
        <v>85</v>
      </c>
      <c r="H1255" s="16">
        <v>14470</v>
      </c>
      <c r="I1255" s="16">
        <v>662.7</v>
      </c>
      <c r="J1255" s="19">
        <v>0.65400000000000003</v>
      </c>
      <c r="K1255" s="16">
        <v>83.5</v>
      </c>
      <c r="L1255" s="19">
        <v>0.91500000000000004</v>
      </c>
      <c r="M1255" s="19">
        <v>3.3000000000000002E-2</v>
      </c>
      <c r="N1255" s="21">
        <v>95305.05</v>
      </c>
      <c r="O1255" s="21">
        <v>69340.179999999993</v>
      </c>
      <c r="P1255" s="26">
        <v>25964.87</v>
      </c>
    </row>
    <row r="1256" spans="1:16" x14ac:dyDescent="0.3">
      <c r="A1256" s="25">
        <v>1255</v>
      </c>
      <c r="B1256" s="16" t="s">
        <v>59</v>
      </c>
      <c r="C1256" s="16">
        <v>2025</v>
      </c>
      <c r="D1256" s="16" t="s">
        <v>40</v>
      </c>
      <c r="E1256" s="16" t="s">
        <v>34</v>
      </c>
      <c r="F1256" s="16" t="s">
        <v>37</v>
      </c>
      <c r="G1256" s="16">
        <v>58</v>
      </c>
      <c r="H1256" s="16">
        <v>9362</v>
      </c>
      <c r="I1256" s="16">
        <v>717.6</v>
      </c>
      <c r="J1256" s="19">
        <v>0.745</v>
      </c>
      <c r="K1256" s="16">
        <v>83.8</v>
      </c>
      <c r="L1256" s="19">
        <v>0.83499999999999996</v>
      </c>
      <c r="M1256" s="19">
        <v>3.5999999999999997E-2</v>
      </c>
      <c r="N1256" s="21">
        <v>65707.23</v>
      </c>
      <c r="O1256" s="21">
        <v>50169.39</v>
      </c>
      <c r="P1256" s="26">
        <v>15537.84</v>
      </c>
    </row>
    <row r="1257" spans="1:16" x14ac:dyDescent="0.3">
      <c r="A1257" s="25">
        <v>1256</v>
      </c>
      <c r="B1257" s="16" t="s">
        <v>59</v>
      </c>
      <c r="C1257" s="16">
        <v>2025</v>
      </c>
      <c r="D1257" s="16" t="s">
        <v>40</v>
      </c>
      <c r="E1257" s="16" t="s">
        <v>35</v>
      </c>
      <c r="F1257" s="16" t="s">
        <v>37</v>
      </c>
      <c r="G1257" s="16">
        <v>49</v>
      </c>
      <c r="H1257" s="16">
        <v>7311</v>
      </c>
      <c r="I1257" s="16">
        <v>642.5</v>
      </c>
      <c r="J1257" s="19">
        <v>0.57499999999999996</v>
      </c>
      <c r="K1257" s="16">
        <v>75.400000000000006</v>
      </c>
      <c r="L1257" s="19">
        <v>0.78200000000000003</v>
      </c>
      <c r="M1257" s="19">
        <v>1.6E-2</v>
      </c>
      <c r="N1257" s="21">
        <v>49610.17</v>
      </c>
      <c r="O1257" s="21">
        <v>35785.51</v>
      </c>
      <c r="P1257" s="26">
        <v>13824.66</v>
      </c>
    </row>
    <row r="1258" spans="1:16" x14ac:dyDescent="0.3">
      <c r="A1258" s="25">
        <v>1257</v>
      </c>
      <c r="B1258" s="16" t="s">
        <v>59</v>
      </c>
      <c r="C1258" s="16">
        <v>2025</v>
      </c>
      <c r="D1258" s="16" t="s">
        <v>41</v>
      </c>
      <c r="E1258" s="16" t="s">
        <v>32</v>
      </c>
      <c r="F1258" s="16" t="s">
        <v>28</v>
      </c>
      <c r="G1258" s="16">
        <v>33</v>
      </c>
      <c r="H1258" s="16">
        <v>4463</v>
      </c>
      <c r="I1258" s="16">
        <v>469.2</v>
      </c>
      <c r="J1258" s="19">
        <v>0.85199999999999998</v>
      </c>
      <c r="K1258" s="16">
        <v>86.3</v>
      </c>
      <c r="L1258" s="19">
        <v>0.85399999999999998</v>
      </c>
      <c r="M1258" s="19">
        <v>3.2000000000000001E-2</v>
      </c>
      <c r="N1258" s="21">
        <v>68998.61</v>
      </c>
      <c r="O1258" s="21">
        <v>47555.11</v>
      </c>
      <c r="P1258" s="26">
        <v>21443.5</v>
      </c>
    </row>
    <row r="1259" spans="1:16" x14ac:dyDescent="0.3">
      <c r="A1259" s="25">
        <v>1258</v>
      </c>
      <c r="B1259" s="16" t="s">
        <v>59</v>
      </c>
      <c r="C1259" s="16">
        <v>2025</v>
      </c>
      <c r="D1259" s="16" t="s">
        <v>41</v>
      </c>
      <c r="E1259" s="16" t="s">
        <v>31</v>
      </c>
      <c r="F1259" s="16" t="s">
        <v>28</v>
      </c>
      <c r="G1259" s="16">
        <v>58</v>
      </c>
      <c r="H1259" s="16">
        <v>10208</v>
      </c>
      <c r="I1259" s="16">
        <v>325.7</v>
      </c>
      <c r="J1259" s="19">
        <v>0.85699999999999998</v>
      </c>
      <c r="K1259" s="16">
        <v>86.3</v>
      </c>
      <c r="L1259" s="19">
        <v>0.85</v>
      </c>
      <c r="M1259" s="19">
        <v>2.4E-2</v>
      </c>
      <c r="N1259" s="21">
        <v>105920.45</v>
      </c>
      <c r="O1259" s="21">
        <v>76031.45</v>
      </c>
      <c r="P1259" s="26">
        <v>29889</v>
      </c>
    </row>
    <row r="1260" spans="1:16" x14ac:dyDescent="0.3">
      <c r="A1260" s="25">
        <v>1259</v>
      </c>
      <c r="B1260" s="16" t="s">
        <v>59</v>
      </c>
      <c r="C1260" s="16">
        <v>2025</v>
      </c>
      <c r="D1260" s="16" t="s">
        <v>41</v>
      </c>
      <c r="E1260" s="16" t="s">
        <v>27</v>
      </c>
      <c r="F1260" s="16" t="s">
        <v>29</v>
      </c>
      <c r="G1260" s="16">
        <v>66</v>
      </c>
      <c r="H1260" s="16">
        <v>11313</v>
      </c>
      <c r="I1260" s="16">
        <v>292.3</v>
      </c>
      <c r="J1260" s="19">
        <v>0.61399999999999999</v>
      </c>
      <c r="K1260" s="16">
        <v>79.099999999999994</v>
      </c>
      <c r="L1260" s="19">
        <v>0.77700000000000002</v>
      </c>
      <c r="M1260" s="19">
        <v>1.4999999999999999E-2</v>
      </c>
      <c r="N1260" s="21">
        <v>95673.75</v>
      </c>
      <c r="O1260" s="21">
        <v>69761.11</v>
      </c>
      <c r="P1260" s="26">
        <v>25912.639999999999</v>
      </c>
    </row>
    <row r="1261" spans="1:16" x14ac:dyDescent="0.3">
      <c r="A1261" s="25">
        <v>1260</v>
      </c>
      <c r="B1261" s="16" t="s">
        <v>59</v>
      </c>
      <c r="C1261" s="16">
        <v>2025</v>
      </c>
      <c r="D1261" s="16" t="s">
        <v>41</v>
      </c>
      <c r="E1261" s="16" t="s">
        <v>30</v>
      </c>
      <c r="F1261" s="16" t="s">
        <v>29</v>
      </c>
      <c r="G1261" s="16">
        <v>40</v>
      </c>
      <c r="H1261" s="16">
        <v>5790</v>
      </c>
      <c r="I1261" s="16">
        <v>305.3</v>
      </c>
      <c r="J1261" s="19">
        <v>0.67200000000000004</v>
      </c>
      <c r="K1261" s="16">
        <v>82.9</v>
      </c>
      <c r="L1261" s="19">
        <v>0.78200000000000003</v>
      </c>
      <c r="M1261" s="19">
        <v>1.4E-2</v>
      </c>
      <c r="N1261" s="21">
        <v>63044.07</v>
      </c>
      <c r="O1261" s="21">
        <v>48747.25</v>
      </c>
      <c r="P1261" s="26">
        <v>14296.82</v>
      </c>
    </row>
    <row r="1262" spans="1:16" x14ac:dyDescent="0.3">
      <c r="A1262" s="25">
        <v>1261</v>
      </c>
      <c r="B1262" s="16" t="s">
        <v>59</v>
      </c>
      <c r="C1262" s="16">
        <v>2025</v>
      </c>
      <c r="D1262" s="16" t="s">
        <v>41</v>
      </c>
      <c r="E1262" s="16" t="s">
        <v>34</v>
      </c>
      <c r="F1262" s="16" t="s">
        <v>29</v>
      </c>
      <c r="G1262" s="16">
        <v>33</v>
      </c>
      <c r="H1262" s="16">
        <v>5168</v>
      </c>
      <c r="I1262" s="16">
        <v>336.4</v>
      </c>
      <c r="J1262" s="19">
        <v>0.70599999999999996</v>
      </c>
      <c r="K1262" s="16">
        <v>86.8</v>
      </c>
      <c r="L1262" s="19">
        <v>0.86899999999999999</v>
      </c>
      <c r="M1262" s="19">
        <v>1.9E-2</v>
      </c>
      <c r="N1262" s="21">
        <v>52492.32</v>
      </c>
      <c r="O1262" s="21">
        <v>33076.25</v>
      </c>
      <c r="P1262" s="26">
        <v>19416.07</v>
      </c>
    </row>
    <row r="1263" spans="1:16" x14ac:dyDescent="0.3">
      <c r="A1263" s="25">
        <v>1262</v>
      </c>
      <c r="B1263" s="16" t="s">
        <v>59</v>
      </c>
      <c r="C1263" s="16">
        <v>2025</v>
      </c>
      <c r="D1263" s="16" t="s">
        <v>41</v>
      </c>
      <c r="E1263" s="16" t="s">
        <v>31</v>
      </c>
      <c r="F1263" s="16" t="s">
        <v>29</v>
      </c>
      <c r="G1263" s="16">
        <v>24</v>
      </c>
      <c r="H1263" s="16">
        <v>3992</v>
      </c>
      <c r="I1263" s="16">
        <v>293</v>
      </c>
      <c r="J1263" s="19">
        <v>0.57499999999999996</v>
      </c>
      <c r="K1263" s="16">
        <v>78.900000000000006</v>
      </c>
      <c r="L1263" s="19">
        <v>0.90300000000000002</v>
      </c>
      <c r="M1263" s="19">
        <v>1.0999999999999999E-2</v>
      </c>
      <c r="N1263" s="21">
        <v>42350.66</v>
      </c>
      <c r="O1263" s="21">
        <v>31198.9</v>
      </c>
      <c r="P1263" s="26">
        <v>11151.76</v>
      </c>
    </row>
    <row r="1264" spans="1:16" x14ac:dyDescent="0.3">
      <c r="A1264" s="25">
        <v>1263</v>
      </c>
      <c r="B1264" s="16" t="s">
        <v>59</v>
      </c>
      <c r="C1264" s="16">
        <v>2025</v>
      </c>
      <c r="D1264" s="16" t="s">
        <v>41</v>
      </c>
      <c r="E1264" s="16" t="s">
        <v>31</v>
      </c>
      <c r="F1264" s="16" t="s">
        <v>33</v>
      </c>
      <c r="G1264" s="16">
        <v>55</v>
      </c>
      <c r="H1264" s="16">
        <v>8019</v>
      </c>
      <c r="I1264" s="16">
        <v>489.2</v>
      </c>
      <c r="J1264" s="19">
        <v>0.7</v>
      </c>
      <c r="K1264" s="16">
        <v>81.8</v>
      </c>
      <c r="L1264" s="19">
        <v>0.91300000000000003</v>
      </c>
      <c r="M1264" s="19">
        <v>1.9E-2</v>
      </c>
      <c r="N1264" s="21">
        <v>94550.53</v>
      </c>
      <c r="O1264" s="21">
        <v>72413.350000000006</v>
      </c>
      <c r="P1264" s="26">
        <v>22137.18</v>
      </c>
    </row>
    <row r="1265" spans="1:16" x14ac:dyDescent="0.3">
      <c r="A1265" s="25">
        <v>1264</v>
      </c>
      <c r="B1265" s="16" t="s">
        <v>59</v>
      </c>
      <c r="C1265" s="16">
        <v>2025</v>
      </c>
      <c r="D1265" s="16" t="s">
        <v>41</v>
      </c>
      <c r="E1265" s="16" t="s">
        <v>35</v>
      </c>
      <c r="F1265" s="16" t="s">
        <v>33</v>
      </c>
      <c r="G1265" s="16">
        <v>62</v>
      </c>
      <c r="H1265" s="16">
        <v>10159</v>
      </c>
      <c r="I1265" s="16">
        <v>520.20000000000005</v>
      </c>
      <c r="J1265" s="19">
        <v>0.77</v>
      </c>
      <c r="K1265" s="16">
        <v>89.8</v>
      </c>
      <c r="L1265" s="19">
        <v>0.94699999999999995</v>
      </c>
      <c r="M1265" s="19">
        <v>3.9E-2</v>
      </c>
      <c r="N1265" s="21">
        <v>103285.09</v>
      </c>
      <c r="O1265" s="21">
        <v>71860.61</v>
      </c>
      <c r="P1265" s="26">
        <v>31424.48</v>
      </c>
    </row>
    <row r="1266" spans="1:16" x14ac:dyDescent="0.3">
      <c r="A1266" s="25">
        <v>1265</v>
      </c>
      <c r="B1266" s="16" t="s">
        <v>59</v>
      </c>
      <c r="C1266" s="16">
        <v>2025</v>
      </c>
      <c r="D1266" s="16" t="s">
        <v>41</v>
      </c>
      <c r="E1266" s="16" t="s">
        <v>27</v>
      </c>
      <c r="F1266" s="16" t="s">
        <v>36</v>
      </c>
      <c r="G1266" s="16">
        <v>55</v>
      </c>
      <c r="H1266" s="16">
        <v>8310</v>
      </c>
      <c r="I1266" s="16">
        <v>918.2</v>
      </c>
      <c r="J1266" s="19">
        <v>0.63900000000000001</v>
      </c>
      <c r="K1266" s="16">
        <v>88.8</v>
      </c>
      <c r="L1266" s="19">
        <v>0.91700000000000004</v>
      </c>
      <c r="M1266" s="19">
        <v>1.7999999999999999E-2</v>
      </c>
      <c r="N1266" s="21">
        <v>81905.2</v>
      </c>
      <c r="O1266" s="21">
        <v>61148.27</v>
      </c>
      <c r="P1266" s="26">
        <v>20756.93</v>
      </c>
    </row>
    <row r="1267" spans="1:16" x14ac:dyDescent="0.3">
      <c r="A1267" s="25">
        <v>1266</v>
      </c>
      <c r="B1267" s="16" t="s">
        <v>59</v>
      </c>
      <c r="C1267" s="16">
        <v>2025</v>
      </c>
      <c r="D1267" s="16" t="s">
        <v>41</v>
      </c>
      <c r="E1267" s="16" t="s">
        <v>34</v>
      </c>
      <c r="F1267" s="16" t="s">
        <v>36</v>
      </c>
      <c r="G1267" s="16">
        <v>41</v>
      </c>
      <c r="H1267" s="16">
        <v>6663</v>
      </c>
      <c r="I1267" s="16">
        <v>923.3</v>
      </c>
      <c r="J1267" s="19">
        <v>0.68</v>
      </c>
      <c r="K1267" s="16">
        <v>99</v>
      </c>
      <c r="L1267" s="19">
        <v>0.88600000000000001</v>
      </c>
      <c r="M1267" s="19">
        <v>5.0000000000000001E-3</v>
      </c>
      <c r="N1267" s="21">
        <v>63302.07</v>
      </c>
      <c r="O1267" s="21">
        <v>42458.8</v>
      </c>
      <c r="P1267" s="26">
        <v>20843.27</v>
      </c>
    </row>
    <row r="1268" spans="1:16" x14ac:dyDescent="0.3">
      <c r="A1268" s="25">
        <v>1267</v>
      </c>
      <c r="B1268" s="16" t="s">
        <v>59</v>
      </c>
      <c r="C1268" s="16">
        <v>2025</v>
      </c>
      <c r="D1268" s="16" t="s">
        <v>41</v>
      </c>
      <c r="E1268" s="16" t="s">
        <v>35</v>
      </c>
      <c r="F1268" s="16" t="s">
        <v>36</v>
      </c>
      <c r="G1268" s="16">
        <v>37</v>
      </c>
      <c r="H1268" s="16">
        <v>5762</v>
      </c>
      <c r="I1268" s="16">
        <v>922.7</v>
      </c>
      <c r="J1268" s="19">
        <v>0.76</v>
      </c>
      <c r="K1268" s="16">
        <v>86.4</v>
      </c>
      <c r="L1268" s="19">
        <v>0.77800000000000002</v>
      </c>
      <c r="M1268" s="19">
        <v>0.03</v>
      </c>
      <c r="N1268" s="21">
        <v>59065.7</v>
      </c>
      <c r="O1268" s="21">
        <v>45436.29</v>
      </c>
      <c r="P1268" s="26">
        <v>13629.41</v>
      </c>
    </row>
    <row r="1269" spans="1:16" x14ac:dyDescent="0.3">
      <c r="A1269" s="25">
        <v>1268</v>
      </c>
      <c r="B1269" s="16" t="s">
        <v>59</v>
      </c>
      <c r="C1269" s="16">
        <v>2025</v>
      </c>
      <c r="D1269" s="16" t="s">
        <v>41</v>
      </c>
      <c r="E1269" s="16" t="s">
        <v>32</v>
      </c>
      <c r="F1269" s="16" t="s">
        <v>37</v>
      </c>
      <c r="G1269" s="16">
        <v>34</v>
      </c>
      <c r="H1269" s="16">
        <v>5195</v>
      </c>
      <c r="I1269" s="16">
        <v>635</v>
      </c>
      <c r="J1269" s="19">
        <v>0.66300000000000003</v>
      </c>
      <c r="K1269" s="16">
        <v>89.1</v>
      </c>
      <c r="L1269" s="19">
        <v>0.84</v>
      </c>
      <c r="M1269" s="19">
        <v>2.9000000000000001E-2</v>
      </c>
      <c r="N1269" s="21">
        <v>49337.54</v>
      </c>
      <c r="O1269" s="21">
        <v>34290.720000000001</v>
      </c>
      <c r="P1269" s="26">
        <v>15046.82</v>
      </c>
    </row>
    <row r="1270" spans="1:16" x14ac:dyDescent="0.3">
      <c r="A1270" s="25">
        <v>1269</v>
      </c>
      <c r="B1270" s="16" t="s">
        <v>59</v>
      </c>
      <c r="C1270" s="16">
        <v>2025</v>
      </c>
      <c r="D1270" s="16" t="s">
        <v>41</v>
      </c>
      <c r="E1270" s="16" t="s">
        <v>30</v>
      </c>
      <c r="F1270" s="16" t="s">
        <v>37</v>
      </c>
      <c r="G1270" s="16">
        <v>63</v>
      </c>
      <c r="H1270" s="16">
        <v>8813</v>
      </c>
      <c r="I1270" s="16">
        <v>683.1</v>
      </c>
      <c r="J1270" s="19">
        <v>0.745</v>
      </c>
      <c r="K1270" s="16">
        <v>84.9</v>
      </c>
      <c r="L1270" s="19">
        <v>0.78200000000000003</v>
      </c>
      <c r="M1270" s="19">
        <v>0</v>
      </c>
      <c r="N1270" s="21">
        <v>105245.93</v>
      </c>
      <c r="O1270" s="21">
        <v>79534.539999999994</v>
      </c>
      <c r="P1270" s="26">
        <v>25711.39</v>
      </c>
    </row>
    <row r="1271" spans="1:16" x14ac:dyDescent="0.3">
      <c r="A1271" s="25">
        <v>1270</v>
      </c>
      <c r="B1271" s="16" t="s">
        <v>59</v>
      </c>
      <c r="C1271" s="16">
        <v>2025</v>
      </c>
      <c r="D1271" s="16" t="s">
        <v>41</v>
      </c>
      <c r="E1271" s="16" t="s">
        <v>31</v>
      </c>
      <c r="F1271" s="16" t="s">
        <v>37</v>
      </c>
      <c r="G1271" s="16">
        <v>50</v>
      </c>
      <c r="H1271" s="16">
        <v>7714</v>
      </c>
      <c r="I1271" s="16">
        <v>787.5</v>
      </c>
      <c r="J1271" s="19">
        <v>0.76100000000000001</v>
      </c>
      <c r="K1271" s="16">
        <v>87.5</v>
      </c>
      <c r="L1271" s="19">
        <v>0.90900000000000003</v>
      </c>
      <c r="M1271" s="19">
        <v>1.0999999999999999E-2</v>
      </c>
      <c r="N1271" s="21">
        <v>82989.17</v>
      </c>
      <c r="O1271" s="21">
        <v>59032.11</v>
      </c>
      <c r="P1271" s="26">
        <v>23957.06</v>
      </c>
    </row>
    <row r="1272" spans="1:16" x14ac:dyDescent="0.3">
      <c r="A1272" s="25">
        <v>1271</v>
      </c>
      <c r="B1272" s="16" t="s">
        <v>59</v>
      </c>
      <c r="C1272" s="16">
        <v>2025</v>
      </c>
      <c r="D1272" s="16" t="s">
        <v>41</v>
      </c>
      <c r="E1272" s="16" t="s">
        <v>35</v>
      </c>
      <c r="F1272" s="16" t="s">
        <v>37</v>
      </c>
      <c r="G1272" s="16">
        <v>30</v>
      </c>
      <c r="H1272" s="16">
        <v>4485</v>
      </c>
      <c r="I1272" s="16">
        <v>626</v>
      </c>
      <c r="J1272" s="19">
        <v>0.68899999999999995</v>
      </c>
      <c r="K1272" s="16">
        <v>79.7</v>
      </c>
      <c r="L1272" s="19">
        <v>0.94499999999999995</v>
      </c>
      <c r="M1272" s="19">
        <v>0.02</v>
      </c>
      <c r="N1272" s="21">
        <v>51845.25</v>
      </c>
      <c r="O1272" s="21">
        <v>38114.65</v>
      </c>
      <c r="P1272" s="26">
        <v>13730.6</v>
      </c>
    </row>
    <row r="1273" spans="1:16" x14ac:dyDescent="0.3">
      <c r="A1273" s="25">
        <v>1272</v>
      </c>
      <c r="B1273" s="16" t="s">
        <v>60</v>
      </c>
      <c r="C1273" s="16">
        <v>2025</v>
      </c>
      <c r="D1273" s="16" t="s">
        <v>26</v>
      </c>
      <c r="E1273" s="16" t="s">
        <v>30</v>
      </c>
      <c r="F1273" s="16" t="s">
        <v>28</v>
      </c>
      <c r="G1273" s="16">
        <v>53</v>
      </c>
      <c r="H1273" s="16">
        <v>8593</v>
      </c>
      <c r="I1273" s="16">
        <v>442.9</v>
      </c>
      <c r="J1273" s="19">
        <v>0.78300000000000003</v>
      </c>
      <c r="K1273" s="16">
        <v>85.2</v>
      </c>
      <c r="L1273" s="19">
        <v>0.94499999999999995</v>
      </c>
      <c r="M1273" s="19">
        <v>3.3000000000000002E-2</v>
      </c>
      <c r="N1273" s="21">
        <v>50306.07</v>
      </c>
      <c r="O1273" s="21">
        <v>36143.15</v>
      </c>
      <c r="P1273" s="26">
        <v>14162.92</v>
      </c>
    </row>
    <row r="1274" spans="1:16" x14ac:dyDescent="0.3">
      <c r="A1274" s="25">
        <v>1273</v>
      </c>
      <c r="B1274" s="16" t="s">
        <v>60</v>
      </c>
      <c r="C1274" s="16">
        <v>2025</v>
      </c>
      <c r="D1274" s="16" t="s">
        <v>26</v>
      </c>
      <c r="E1274" s="16" t="s">
        <v>31</v>
      </c>
      <c r="F1274" s="16" t="s">
        <v>28</v>
      </c>
      <c r="G1274" s="16">
        <v>40</v>
      </c>
      <c r="H1274" s="16">
        <v>5281</v>
      </c>
      <c r="I1274" s="16">
        <v>475.5</v>
      </c>
      <c r="J1274" s="19">
        <v>0.73599999999999999</v>
      </c>
      <c r="K1274" s="16">
        <v>81.599999999999994</v>
      </c>
      <c r="L1274" s="19">
        <v>0.85299999999999998</v>
      </c>
      <c r="M1274" s="19">
        <v>3.5999999999999997E-2</v>
      </c>
      <c r="N1274" s="21">
        <v>52058.91</v>
      </c>
      <c r="O1274" s="21">
        <v>39810.19</v>
      </c>
      <c r="P1274" s="26">
        <v>12248.72</v>
      </c>
    </row>
    <row r="1275" spans="1:16" x14ac:dyDescent="0.3">
      <c r="A1275" s="25">
        <v>1274</v>
      </c>
      <c r="B1275" s="16" t="s">
        <v>60</v>
      </c>
      <c r="C1275" s="16">
        <v>2025</v>
      </c>
      <c r="D1275" s="16" t="s">
        <v>26</v>
      </c>
      <c r="E1275" s="16" t="s">
        <v>35</v>
      </c>
      <c r="F1275" s="16" t="s">
        <v>28</v>
      </c>
      <c r="G1275" s="16">
        <v>60</v>
      </c>
      <c r="H1275" s="16">
        <v>9007</v>
      </c>
      <c r="I1275" s="16">
        <v>428</v>
      </c>
      <c r="J1275" s="19">
        <v>0.67900000000000005</v>
      </c>
      <c r="K1275" s="16">
        <v>82.7</v>
      </c>
      <c r="L1275" s="19">
        <v>0.94599999999999995</v>
      </c>
      <c r="M1275" s="19">
        <v>2.9000000000000001E-2</v>
      </c>
      <c r="N1275" s="21">
        <v>67006.62</v>
      </c>
      <c r="O1275" s="21">
        <v>51553.9</v>
      </c>
      <c r="P1275" s="26">
        <v>15452.72</v>
      </c>
    </row>
    <row r="1276" spans="1:16" x14ac:dyDescent="0.3">
      <c r="A1276" s="25">
        <v>1275</v>
      </c>
      <c r="B1276" s="16" t="s">
        <v>60</v>
      </c>
      <c r="C1276" s="16">
        <v>2025</v>
      </c>
      <c r="D1276" s="16" t="s">
        <v>26</v>
      </c>
      <c r="E1276" s="16" t="s">
        <v>32</v>
      </c>
      <c r="F1276" s="16" t="s">
        <v>29</v>
      </c>
      <c r="G1276" s="16">
        <v>37</v>
      </c>
      <c r="H1276" s="16">
        <v>4408</v>
      </c>
      <c r="I1276" s="16">
        <v>315.3</v>
      </c>
      <c r="J1276" s="19">
        <v>0.71</v>
      </c>
      <c r="K1276" s="16">
        <v>75.900000000000006</v>
      </c>
      <c r="L1276" s="19">
        <v>0.95</v>
      </c>
      <c r="M1276" s="19">
        <v>2.5999999999999999E-2</v>
      </c>
      <c r="N1276" s="21">
        <v>50955.32</v>
      </c>
      <c r="O1276" s="21">
        <v>39032.61</v>
      </c>
      <c r="P1276" s="26">
        <v>11922.71</v>
      </c>
    </row>
    <row r="1277" spans="1:16" x14ac:dyDescent="0.3">
      <c r="A1277" s="25">
        <v>1276</v>
      </c>
      <c r="B1277" s="16" t="s">
        <v>60</v>
      </c>
      <c r="C1277" s="16">
        <v>2025</v>
      </c>
      <c r="D1277" s="16" t="s">
        <v>26</v>
      </c>
      <c r="E1277" s="16" t="s">
        <v>27</v>
      </c>
      <c r="F1277" s="16" t="s">
        <v>29</v>
      </c>
      <c r="G1277" s="16">
        <v>58</v>
      </c>
      <c r="H1277" s="16">
        <v>8792</v>
      </c>
      <c r="I1277" s="16">
        <v>257.10000000000002</v>
      </c>
      <c r="J1277" s="19">
        <v>0.76500000000000001</v>
      </c>
      <c r="K1277" s="16">
        <v>80.400000000000006</v>
      </c>
      <c r="L1277" s="19">
        <v>0.85399999999999998</v>
      </c>
      <c r="M1277" s="19">
        <v>3.5000000000000003E-2</v>
      </c>
      <c r="N1277" s="21">
        <v>72849.22</v>
      </c>
      <c r="O1277" s="21">
        <v>48554.94</v>
      </c>
      <c r="P1277" s="26">
        <v>24294.28</v>
      </c>
    </row>
    <row r="1278" spans="1:16" x14ac:dyDescent="0.3">
      <c r="A1278" s="25">
        <v>1277</v>
      </c>
      <c r="B1278" s="16" t="s">
        <v>60</v>
      </c>
      <c r="C1278" s="16">
        <v>2025</v>
      </c>
      <c r="D1278" s="16" t="s">
        <v>26</v>
      </c>
      <c r="E1278" s="16" t="s">
        <v>27</v>
      </c>
      <c r="F1278" s="16" t="s">
        <v>33</v>
      </c>
      <c r="G1278" s="16">
        <v>93</v>
      </c>
      <c r="H1278" s="16">
        <v>12025</v>
      </c>
      <c r="I1278" s="16">
        <v>462.6</v>
      </c>
      <c r="J1278" s="19">
        <v>0.68799999999999994</v>
      </c>
      <c r="K1278" s="16">
        <v>90.4</v>
      </c>
      <c r="L1278" s="19">
        <v>0.85699999999999998</v>
      </c>
      <c r="M1278" s="19">
        <v>2.4E-2</v>
      </c>
      <c r="N1278" s="21">
        <v>121837.65</v>
      </c>
      <c r="O1278" s="21">
        <v>87551.15</v>
      </c>
      <c r="P1278" s="26">
        <v>34286.5</v>
      </c>
    </row>
    <row r="1279" spans="1:16" x14ac:dyDescent="0.3">
      <c r="A1279" s="25">
        <v>1278</v>
      </c>
      <c r="B1279" s="16" t="s">
        <v>60</v>
      </c>
      <c r="C1279" s="16">
        <v>2025</v>
      </c>
      <c r="D1279" s="16" t="s">
        <v>26</v>
      </c>
      <c r="E1279" s="16" t="s">
        <v>34</v>
      </c>
      <c r="F1279" s="16" t="s">
        <v>33</v>
      </c>
      <c r="G1279" s="16">
        <v>50</v>
      </c>
      <c r="H1279" s="16">
        <v>7480</v>
      </c>
      <c r="I1279" s="16">
        <v>518.1</v>
      </c>
      <c r="J1279" s="19">
        <v>0.77800000000000002</v>
      </c>
      <c r="K1279" s="16">
        <v>88.8</v>
      </c>
      <c r="L1279" s="19">
        <v>0.90600000000000003</v>
      </c>
      <c r="M1279" s="19">
        <v>3.9E-2</v>
      </c>
      <c r="N1279" s="21">
        <v>69633.14</v>
      </c>
      <c r="O1279" s="21">
        <v>50261.79</v>
      </c>
      <c r="P1279" s="26">
        <v>19371.349999999999</v>
      </c>
    </row>
    <row r="1280" spans="1:16" x14ac:dyDescent="0.3">
      <c r="A1280" s="25">
        <v>1279</v>
      </c>
      <c r="B1280" s="16" t="s">
        <v>60</v>
      </c>
      <c r="C1280" s="16">
        <v>2025</v>
      </c>
      <c r="D1280" s="16" t="s">
        <v>26</v>
      </c>
      <c r="E1280" s="16" t="s">
        <v>31</v>
      </c>
      <c r="F1280" s="16" t="s">
        <v>33</v>
      </c>
      <c r="G1280" s="16">
        <v>69</v>
      </c>
      <c r="H1280" s="16">
        <v>10655</v>
      </c>
      <c r="I1280" s="16">
        <v>454.7</v>
      </c>
      <c r="J1280" s="19">
        <v>0.66200000000000003</v>
      </c>
      <c r="K1280" s="16">
        <v>84.1</v>
      </c>
      <c r="L1280" s="19">
        <v>0.90500000000000003</v>
      </c>
      <c r="M1280" s="19">
        <v>1.6E-2</v>
      </c>
      <c r="N1280" s="21">
        <v>80206.28</v>
      </c>
      <c r="O1280" s="21">
        <v>57571.54</v>
      </c>
      <c r="P1280" s="26">
        <v>22634.74</v>
      </c>
    </row>
    <row r="1281" spans="1:16" x14ac:dyDescent="0.3">
      <c r="A1281" s="25">
        <v>1280</v>
      </c>
      <c r="B1281" s="16" t="s">
        <v>60</v>
      </c>
      <c r="C1281" s="16">
        <v>2025</v>
      </c>
      <c r="D1281" s="16" t="s">
        <v>26</v>
      </c>
      <c r="E1281" s="16" t="s">
        <v>35</v>
      </c>
      <c r="F1281" s="16" t="s">
        <v>33</v>
      </c>
      <c r="G1281" s="16">
        <v>65</v>
      </c>
      <c r="H1281" s="16">
        <v>8495</v>
      </c>
      <c r="I1281" s="16">
        <v>541.20000000000005</v>
      </c>
      <c r="J1281" s="19">
        <v>0.79400000000000004</v>
      </c>
      <c r="K1281" s="16">
        <v>86.1</v>
      </c>
      <c r="L1281" s="19">
        <v>0.97099999999999997</v>
      </c>
      <c r="M1281" s="19">
        <v>0.01</v>
      </c>
      <c r="N1281" s="21">
        <v>106812.68</v>
      </c>
      <c r="O1281" s="21">
        <v>81864.55</v>
      </c>
      <c r="P1281" s="26">
        <v>24948.13</v>
      </c>
    </row>
    <row r="1282" spans="1:16" x14ac:dyDescent="0.3">
      <c r="A1282" s="25">
        <v>1281</v>
      </c>
      <c r="B1282" s="16" t="s">
        <v>60</v>
      </c>
      <c r="C1282" s="16">
        <v>2025</v>
      </c>
      <c r="D1282" s="16" t="s">
        <v>26</v>
      </c>
      <c r="E1282" s="16" t="s">
        <v>32</v>
      </c>
      <c r="F1282" s="16" t="s">
        <v>36</v>
      </c>
      <c r="G1282" s="16">
        <v>49</v>
      </c>
      <c r="H1282" s="16">
        <v>6848</v>
      </c>
      <c r="I1282" s="16">
        <v>879.3</v>
      </c>
      <c r="J1282" s="19">
        <v>0.60199999999999998</v>
      </c>
      <c r="K1282" s="16">
        <v>80.2</v>
      </c>
      <c r="L1282" s="19">
        <v>0.96499999999999997</v>
      </c>
      <c r="M1282" s="19">
        <v>4.4999999999999998E-2</v>
      </c>
      <c r="N1282" s="21">
        <v>47849.56</v>
      </c>
      <c r="O1282" s="21">
        <v>36040.19</v>
      </c>
      <c r="P1282" s="26">
        <v>11809.37</v>
      </c>
    </row>
    <row r="1283" spans="1:16" x14ac:dyDescent="0.3">
      <c r="A1283" s="25">
        <v>1282</v>
      </c>
      <c r="B1283" s="16" t="s">
        <v>60</v>
      </c>
      <c r="C1283" s="16">
        <v>2025</v>
      </c>
      <c r="D1283" s="16" t="s">
        <v>26</v>
      </c>
      <c r="E1283" s="16" t="s">
        <v>27</v>
      </c>
      <c r="F1283" s="16" t="s">
        <v>36</v>
      </c>
      <c r="G1283" s="16">
        <v>39</v>
      </c>
      <c r="H1283" s="16">
        <v>6878</v>
      </c>
      <c r="I1283" s="16">
        <v>859.2</v>
      </c>
      <c r="J1283" s="19">
        <v>0.65700000000000003</v>
      </c>
      <c r="K1283" s="16">
        <v>80.900000000000006</v>
      </c>
      <c r="L1283" s="19">
        <v>0.86799999999999999</v>
      </c>
      <c r="M1283" s="19">
        <v>1.4E-2</v>
      </c>
      <c r="N1283" s="21">
        <v>41947.57</v>
      </c>
      <c r="O1283" s="21">
        <v>30820.52</v>
      </c>
      <c r="P1283" s="26">
        <v>11127.05</v>
      </c>
    </row>
    <row r="1284" spans="1:16" x14ac:dyDescent="0.3">
      <c r="A1284" s="25">
        <v>1283</v>
      </c>
      <c r="B1284" s="16" t="s">
        <v>60</v>
      </c>
      <c r="C1284" s="16">
        <v>2025</v>
      </c>
      <c r="D1284" s="16" t="s">
        <v>26</v>
      </c>
      <c r="E1284" s="16" t="s">
        <v>34</v>
      </c>
      <c r="F1284" s="16" t="s">
        <v>37</v>
      </c>
      <c r="G1284" s="16">
        <v>77</v>
      </c>
      <c r="H1284" s="16">
        <v>11385</v>
      </c>
      <c r="I1284" s="16">
        <v>586.4</v>
      </c>
      <c r="J1284" s="19">
        <v>0.60399999999999998</v>
      </c>
      <c r="K1284" s="16">
        <v>80.3</v>
      </c>
      <c r="L1284" s="19">
        <v>0.72199999999999998</v>
      </c>
      <c r="M1284" s="19">
        <v>1.9E-2</v>
      </c>
      <c r="N1284" s="21">
        <v>99737.42</v>
      </c>
      <c r="O1284" s="21">
        <v>73654.38</v>
      </c>
      <c r="P1284" s="26">
        <v>26083.040000000001</v>
      </c>
    </row>
    <row r="1285" spans="1:16" x14ac:dyDescent="0.3">
      <c r="A1285" s="25">
        <v>1284</v>
      </c>
      <c r="B1285" s="16" t="s">
        <v>60</v>
      </c>
      <c r="C1285" s="16">
        <v>2025</v>
      </c>
      <c r="D1285" s="16" t="s">
        <v>26</v>
      </c>
      <c r="E1285" s="16" t="s">
        <v>31</v>
      </c>
      <c r="F1285" s="16" t="s">
        <v>37</v>
      </c>
      <c r="G1285" s="16">
        <v>39</v>
      </c>
      <c r="H1285" s="16">
        <v>5719</v>
      </c>
      <c r="I1285" s="16">
        <v>631.79999999999995</v>
      </c>
      <c r="J1285" s="19">
        <v>0.69199999999999995</v>
      </c>
      <c r="K1285" s="16">
        <v>75.400000000000006</v>
      </c>
      <c r="L1285" s="19">
        <v>0.80600000000000005</v>
      </c>
      <c r="M1285" s="19">
        <v>4.2999999999999997E-2</v>
      </c>
      <c r="N1285" s="21">
        <v>54694.85</v>
      </c>
      <c r="O1285" s="21">
        <v>34179.71</v>
      </c>
      <c r="P1285" s="26">
        <v>20515.14</v>
      </c>
    </row>
    <row r="1286" spans="1:16" x14ac:dyDescent="0.3">
      <c r="A1286" s="25">
        <v>1285</v>
      </c>
      <c r="B1286" s="16" t="s">
        <v>60</v>
      </c>
      <c r="C1286" s="16">
        <v>2025</v>
      </c>
      <c r="D1286" s="16" t="s">
        <v>38</v>
      </c>
      <c r="E1286" s="16" t="s">
        <v>32</v>
      </c>
      <c r="F1286" s="16" t="s">
        <v>28</v>
      </c>
      <c r="G1286" s="16">
        <v>55</v>
      </c>
      <c r="H1286" s="16">
        <v>7731</v>
      </c>
      <c r="I1286" s="16">
        <v>428.1</v>
      </c>
      <c r="J1286" s="19">
        <v>0.71499999999999997</v>
      </c>
      <c r="K1286" s="16">
        <v>84.6</v>
      </c>
      <c r="L1286" s="19">
        <v>0.91</v>
      </c>
      <c r="M1286" s="19">
        <v>4.5999999999999999E-2</v>
      </c>
      <c r="N1286" s="21">
        <v>65327.69</v>
      </c>
      <c r="O1286" s="21">
        <v>46897.32</v>
      </c>
      <c r="P1286" s="26">
        <v>18430.37</v>
      </c>
    </row>
    <row r="1287" spans="1:16" x14ac:dyDescent="0.3">
      <c r="A1287" s="25">
        <v>1286</v>
      </c>
      <c r="B1287" s="16" t="s">
        <v>60</v>
      </c>
      <c r="C1287" s="16">
        <v>2025</v>
      </c>
      <c r="D1287" s="16" t="s">
        <v>38</v>
      </c>
      <c r="E1287" s="16" t="s">
        <v>27</v>
      </c>
      <c r="F1287" s="16" t="s">
        <v>28</v>
      </c>
      <c r="G1287" s="16">
        <v>62</v>
      </c>
      <c r="H1287" s="16">
        <v>9430</v>
      </c>
      <c r="I1287" s="16">
        <v>374.9</v>
      </c>
      <c r="J1287" s="19">
        <v>0.81899999999999995</v>
      </c>
      <c r="K1287" s="16">
        <v>90.9</v>
      </c>
      <c r="L1287" s="19">
        <v>0.78400000000000003</v>
      </c>
      <c r="M1287" s="19">
        <v>2.7E-2</v>
      </c>
      <c r="N1287" s="21">
        <v>96132.92</v>
      </c>
      <c r="O1287" s="21">
        <v>63069.25</v>
      </c>
      <c r="P1287" s="26">
        <v>33063.67</v>
      </c>
    </row>
    <row r="1288" spans="1:16" x14ac:dyDescent="0.3">
      <c r="A1288" s="25">
        <v>1287</v>
      </c>
      <c r="B1288" s="16" t="s">
        <v>60</v>
      </c>
      <c r="C1288" s="16">
        <v>2025</v>
      </c>
      <c r="D1288" s="16" t="s">
        <v>38</v>
      </c>
      <c r="E1288" s="16" t="s">
        <v>34</v>
      </c>
      <c r="F1288" s="16" t="s">
        <v>28</v>
      </c>
      <c r="G1288" s="16">
        <v>55</v>
      </c>
      <c r="H1288" s="16">
        <v>6486</v>
      </c>
      <c r="I1288" s="16">
        <v>346.2</v>
      </c>
      <c r="J1288" s="19">
        <v>0.73099999999999998</v>
      </c>
      <c r="K1288" s="16">
        <v>91.2</v>
      </c>
      <c r="L1288" s="19">
        <v>0.93600000000000005</v>
      </c>
      <c r="M1288" s="19">
        <v>3.5000000000000003E-2</v>
      </c>
      <c r="N1288" s="21">
        <v>82377.63</v>
      </c>
      <c r="O1288" s="21">
        <v>61096.36</v>
      </c>
      <c r="P1288" s="26">
        <v>21281.27</v>
      </c>
    </row>
    <row r="1289" spans="1:16" x14ac:dyDescent="0.3">
      <c r="A1289" s="25">
        <v>1288</v>
      </c>
      <c r="B1289" s="16" t="s">
        <v>60</v>
      </c>
      <c r="C1289" s="16">
        <v>2025</v>
      </c>
      <c r="D1289" s="16" t="s">
        <v>38</v>
      </c>
      <c r="E1289" s="16" t="s">
        <v>35</v>
      </c>
      <c r="F1289" s="16" t="s">
        <v>28</v>
      </c>
      <c r="G1289" s="16">
        <v>63</v>
      </c>
      <c r="H1289" s="16">
        <v>8511</v>
      </c>
      <c r="I1289" s="16">
        <v>397.7</v>
      </c>
      <c r="J1289" s="19">
        <v>0.72799999999999998</v>
      </c>
      <c r="K1289" s="16">
        <v>74.5</v>
      </c>
      <c r="L1289" s="19">
        <v>0.88400000000000001</v>
      </c>
      <c r="M1289" s="19">
        <v>3.6999999999999998E-2</v>
      </c>
      <c r="N1289" s="21">
        <v>53667.28</v>
      </c>
      <c r="O1289" s="21">
        <v>40627.019999999997</v>
      </c>
      <c r="P1289" s="26">
        <v>13040.26</v>
      </c>
    </row>
    <row r="1290" spans="1:16" x14ac:dyDescent="0.3">
      <c r="A1290" s="25">
        <v>1289</v>
      </c>
      <c r="B1290" s="16" t="s">
        <v>60</v>
      </c>
      <c r="C1290" s="16">
        <v>2025</v>
      </c>
      <c r="D1290" s="16" t="s">
        <v>38</v>
      </c>
      <c r="E1290" s="16" t="s">
        <v>35</v>
      </c>
      <c r="F1290" s="16" t="s">
        <v>29</v>
      </c>
      <c r="G1290" s="16">
        <v>44</v>
      </c>
      <c r="H1290" s="16">
        <v>5819</v>
      </c>
      <c r="I1290" s="16">
        <v>239.5</v>
      </c>
      <c r="J1290" s="19">
        <v>0.57199999999999995</v>
      </c>
      <c r="K1290" s="16">
        <v>87.4</v>
      </c>
      <c r="L1290" s="19">
        <v>0.90100000000000002</v>
      </c>
      <c r="M1290" s="19">
        <v>2.7E-2</v>
      </c>
      <c r="N1290" s="21">
        <v>36515.69</v>
      </c>
      <c r="O1290" s="21">
        <v>26284.91</v>
      </c>
      <c r="P1290" s="26">
        <v>10230.780000000001</v>
      </c>
    </row>
    <row r="1291" spans="1:16" x14ac:dyDescent="0.3">
      <c r="A1291" s="25">
        <v>1290</v>
      </c>
      <c r="B1291" s="16" t="s">
        <v>60</v>
      </c>
      <c r="C1291" s="16">
        <v>2025</v>
      </c>
      <c r="D1291" s="16" t="s">
        <v>38</v>
      </c>
      <c r="E1291" s="16" t="s">
        <v>27</v>
      </c>
      <c r="F1291" s="16" t="s">
        <v>33</v>
      </c>
      <c r="G1291" s="16">
        <v>14</v>
      </c>
      <c r="H1291" s="16">
        <v>2400</v>
      </c>
      <c r="I1291" s="16">
        <v>456.2</v>
      </c>
      <c r="J1291" s="19">
        <v>0.78300000000000003</v>
      </c>
      <c r="K1291" s="16">
        <v>86.8</v>
      </c>
      <c r="L1291" s="19">
        <v>0.95699999999999996</v>
      </c>
      <c r="M1291" s="19">
        <v>4.2000000000000003E-2</v>
      </c>
      <c r="N1291" s="21">
        <v>20774.150000000001</v>
      </c>
      <c r="O1291" s="21">
        <v>15597.51</v>
      </c>
      <c r="P1291" s="26">
        <v>5176.6400000000003</v>
      </c>
    </row>
    <row r="1292" spans="1:16" x14ac:dyDescent="0.3">
      <c r="A1292" s="25">
        <v>1291</v>
      </c>
      <c r="B1292" s="16" t="s">
        <v>60</v>
      </c>
      <c r="C1292" s="16">
        <v>2025</v>
      </c>
      <c r="D1292" s="16" t="s">
        <v>38</v>
      </c>
      <c r="E1292" s="16" t="s">
        <v>30</v>
      </c>
      <c r="F1292" s="16" t="s">
        <v>33</v>
      </c>
      <c r="G1292" s="16">
        <v>42</v>
      </c>
      <c r="H1292" s="16">
        <v>6984</v>
      </c>
      <c r="I1292" s="16">
        <v>451.7</v>
      </c>
      <c r="J1292" s="19">
        <v>0.745</v>
      </c>
      <c r="K1292" s="16">
        <v>89.1</v>
      </c>
      <c r="L1292" s="19">
        <v>0.98299999999999998</v>
      </c>
      <c r="M1292" s="19">
        <v>1.6E-2</v>
      </c>
      <c r="N1292" s="21">
        <v>61670.59</v>
      </c>
      <c r="O1292" s="21">
        <v>43227.89</v>
      </c>
      <c r="P1292" s="26">
        <v>18442.7</v>
      </c>
    </row>
    <row r="1293" spans="1:16" x14ac:dyDescent="0.3">
      <c r="A1293" s="25">
        <v>1292</v>
      </c>
      <c r="B1293" s="16" t="s">
        <v>60</v>
      </c>
      <c r="C1293" s="16">
        <v>2025</v>
      </c>
      <c r="D1293" s="16" t="s">
        <v>38</v>
      </c>
      <c r="E1293" s="16" t="s">
        <v>31</v>
      </c>
      <c r="F1293" s="16" t="s">
        <v>33</v>
      </c>
      <c r="G1293" s="16">
        <v>90</v>
      </c>
      <c r="H1293" s="16">
        <v>12480</v>
      </c>
      <c r="I1293" s="16">
        <v>471.4</v>
      </c>
      <c r="J1293" s="19">
        <v>0.79200000000000004</v>
      </c>
      <c r="K1293" s="16">
        <v>84.2</v>
      </c>
      <c r="L1293" s="19">
        <v>0.98499999999999999</v>
      </c>
      <c r="M1293" s="19">
        <v>3.3000000000000002E-2</v>
      </c>
      <c r="N1293" s="21">
        <v>130063.91</v>
      </c>
      <c r="O1293" s="21">
        <v>92083.61</v>
      </c>
      <c r="P1293" s="26">
        <v>37980.300000000003</v>
      </c>
    </row>
    <row r="1294" spans="1:16" x14ac:dyDescent="0.3">
      <c r="A1294" s="25">
        <v>1293</v>
      </c>
      <c r="B1294" s="16" t="s">
        <v>60</v>
      </c>
      <c r="C1294" s="16">
        <v>2025</v>
      </c>
      <c r="D1294" s="16" t="s">
        <v>38</v>
      </c>
      <c r="E1294" s="16" t="s">
        <v>32</v>
      </c>
      <c r="F1294" s="16" t="s">
        <v>36</v>
      </c>
      <c r="G1294" s="16">
        <v>64</v>
      </c>
      <c r="H1294" s="16">
        <v>7891</v>
      </c>
      <c r="I1294" s="16">
        <v>854.3</v>
      </c>
      <c r="J1294" s="19">
        <v>0.72299999999999998</v>
      </c>
      <c r="K1294" s="16">
        <v>80.900000000000006</v>
      </c>
      <c r="L1294" s="19">
        <v>0.96</v>
      </c>
      <c r="M1294" s="19">
        <v>2.5999999999999999E-2</v>
      </c>
      <c r="N1294" s="21">
        <v>94163.86</v>
      </c>
      <c r="O1294" s="21">
        <v>62249.07</v>
      </c>
      <c r="P1294" s="26">
        <v>31914.79</v>
      </c>
    </row>
    <row r="1295" spans="1:16" x14ac:dyDescent="0.3">
      <c r="A1295" s="25">
        <v>1294</v>
      </c>
      <c r="B1295" s="16" t="s">
        <v>60</v>
      </c>
      <c r="C1295" s="16">
        <v>2025</v>
      </c>
      <c r="D1295" s="16" t="s">
        <v>38</v>
      </c>
      <c r="E1295" s="16" t="s">
        <v>30</v>
      </c>
      <c r="F1295" s="16" t="s">
        <v>36</v>
      </c>
      <c r="G1295" s="16">
        <v>79</v>
      </c>
      <c r="H1295" s="16">
        <v>10242</v>
      </c>
      <c r="I1295" s="16">
        <v>865.9</v>
      </c>
      <c r="J1295" s="19">
        <v>0.71799999999999997</v>
      </c>
      <c r="K1295" s="16">
        <v>88.6</v>
      </c>
      <c r="L1295" s="19">
        <v>0.84199999999999997</v>
      </c>
      <c r="M1295" s="19">
        <v>4.1000000000000002E-2</v>
      </c>
      <c r="N1295" s="21">
        <v>112422.24</v>
      </c>
      <c r="O1295" s="21">
        <v>74522.39</v>
      </c>
      <c r="P1295" s="26">
        <v>37899.85</v>
      </c>
    </row>
    <row r="1296" spans="1:16" x14ac:dyDescent="0.3">
      <c r="A1296" s="25">
        <v>1295</v>
      </c>
      <c r="B1296" s="16" t="s">
        <v>60</v>
      </c>
      <c r="C1296" s="16">
        <v>2025</v>
      </c>
      <c r="D1296" s="16" t="s">
        <v>38</v>
      </c>
      <c r="E1296" s="16" t="s">
        <v>32</v>
      </c>
      <c r="F1296" s="16" t="s">
        <v>37</v>
      </c>
      <c r="G1296" s="16">
        <v>64</v>
      </c>
      <c r="H1296" s="16">
        <v>11100</v>
      </c>
      <c r="I1296" s="16">
        <v>661</v>
      </c>
      <c r="J1296" s="19">
        <v>0.67900000000000005</v>
      </c>
      <c r="K1296" s="16">
        <v>84.7</v>
      </c>
      <c r="L1296" s="19">
        <v>0.86099999999999999</v>
      </c>
      <c r="M1296" s="19">
        <v>2.5999999999999999E-2</v>
      </c>
      <c r="N1296" s="21">
        <v>75743.460000000006</v>
      </c>
      <c r="O1296" s="21">
        <v>50894.32</v>
      </c>
      <c r="P1296" s="26">
        <v>24849.14</v>
      </c>
    </row>
    <row r="1297" spans="1:16" x14ac:dyDescent="0.3">
      <c r="A1297" s="25">
        <v>1296</v>
      </c>
      <c r="B1297" s="16" t="s">
        <v>60</v>
      </c>
      <c r="C1297" s="16">
        <v>2025</v>
      </c>
      <c r="D1297" s="16" t="s">
        <v>38</v>
      </c>
      <c r="E1297" s="16" t="s">
        <v>30</v>
      </c>
      <c r="F1297" s="16" t="s">
        <v>37</v>
      </c>
      <c r="G1297" s="16">
        <v>62</v>
      </c>
      <c r="H1297" s="16">
        <v>7998</v>
      </c>
      <c r="I1297" s="16">
        <v>647.4</v>
      </c>
      <c r="J1297" s="19">
        <v>0.54700000000000004</v>
      </c>
      <c r="K1297" s="16">
        <v>86.7</v>
      </c>
      <c r="L1297" s="19">
        <v>0.9</v>
      </c>
      <c r="M1297" s="19">
        <v>0.04</v>
      </c>
      <c r="N1297" s="21">
        <v>54866.07</v>
      </c>
      <c r="O1297" s="21">
        <v>37091.24</v>
      </c>
      <c r="P1297" s="26">
        <v>17774.830000000002</v>
      </c>
    </row>
    <row r="1298" spans="1:16" x14ac:dyDescent="0.3">
      <c r="A1298" s="25">
        <v>1297</v>
      </c>
      <c r="B1298" s="16" t="s">
        <v>60</v>
      </c>
      <c r="C1298" s="16">
        <v>2025</v>
      </c>
      <c r="D1298" s="16" t="s">
        <v>38</v>
      </c>
      <c r="E1298" s="16" t="s">
        <v>34</v>
      </c>
      <c r="F1298" s="16" t="s">
        <v>37</v>
      </c>
      <c r="G1298" s="16">
        <v>42</v>
      </c>
      <c r="H1298" s="16">
        <v>7536</v>
      </c>
      <c r="I1298" s="16">
        <v>631.9</v>
      </c>
      <c r="J1298" s="19">
        <v>0.72499999999999998</v>
      </c>
      <c r="K1298" s="16">
        <v>84.8</v>
      </c>
      <c r="L1298" s="19">
        <v>0.91700000000000004</v>
      </c>
      <c r="M1298" s="19">
        <v>3.5999999999999997E-2</v>
      </c>
      <c r="N1298" s="21">
        <v>59715.39</v>
      </c>
      <c r="O1298" s="21">
        <v>40921.9</v>
      </c>
      <c r="P1298" s="26">
        <v>18793.490000000002</v>
      </c>
    </row>
    <row r="1299" spans="1:16" x14ac:dyDescent="0.3">
      <c r="A1299" s="25">
        <v>1298</v>
      </c>
      <c r="B1299" s="16" t="s">
        <v>60</v>
      </c>
      <c r="C1299" s="16">
        <v>2025</v>
      </c>
      <c r="D1299" s="16" t="s">
        <v>38</v>
      </c>
      <c r="E1299" s="16" t="s">
        <v>31</v>
      </c>
      <c r="F1299" s="16" t="s">
        <v>37</v>
      </c>
      <c r="G1299" s="16">
        <v>74</v>
      </c>
      <c r="H1299" s="16">
        <v>8611</v>
      </c>
      <c r="I1299" s="16">
        <v>700.9</v>
      </c>
      <c r="J1299" s="19">
        <v>0.72899999999999998</v>
      </c>
      <c r="K1299" s="16">
        <v>85.5</v>
      </c>
      <c r="L1299" s="19">
        <v>0.89400000000000002</v>
      </c>
      <c r="M1299" s="19">
        <v>4.2999999999999997E-2</v>
      </c>
      <c r="N1299" s="21">
        <v>74920.820000000007</v>
      </c>
      <c r="O1299" s="21">
        <v>47774.720000000001</v>
      </c>
      <c r="P1299" s="26">
        <v>27146.1</v>
      </c>
    </row>
    <row r="1300" spans="1:16" x14ac:dyDescent="0.3">
      <c r="A1300" s="25">
        <v>1299</v>
      </c>
      <c r="B1300" s="16" t="s">
        <v>60</v>
      </c>
      <c r="C1300" s="16">
        <v>2025</v>
      </c>
      <c r="D1300" s="16" t="s">
        <v>39</v>
      </c>
      <c r="E1300" s="16" t="s">
        <v>35</v>
      </c>
      <c r="F1300" s="16" t="s">
        <v>28</v>
      </c>
      <c r="G1300" s="16">
        <v>10</v>
      </c>
      <c r="H1300" s="16">
        <v>1514</v>
      </c>
      <c r="I1300" s="16">
        <v>508.8</v>
      </c>
      <c r="J1300" s="19">
        <v>0.81599999999999995</v>
      </c>
      <c r="K1300" s="16">
        <v>80</v>
      </c>
      <c r="L1300" s="19">
        <v>0.875</v>
      </c>
      <c r="M1300" s="19">
        <v>2.9000000000000001E-2</v>
      </c>
      <c r="N1300" s="21">
        <v>16160.17</v>
      </c>
      <c r="O1300" s="21">
        <v>10230.27</v>
      </c>
      <c r="P1300" s="26">
        <v>5929.9</v>
      </c>
    </row>
    <row r="1301" spans="1:16" x14ac:dyDescent="0.3">
      <c r="A1301" s="25">
        <v>1300</v>
      </c>
      <c r="B1301" s="16" t="s">
        <v>60</v>
      </c>
      <c r="C1301" s="16">
        <v>2025</v>
      </c>
      <c r="D1301" s="16" t="s">
        <v>39</v>
      </c>
      <c r="E1301" s="16" t="s">
        <v>30</v>
      </c>
      <c r="F1301" s="16" t="s">
        <v>29</v>
      </c>
      <c r="G1301" s="16">
        <v>61</v>
      </c>
      <c r="H1301" s="16">
        <v>8384</v>
      </c>
      <c r="I1301" s="16">
        <v>376</v>
      </c>
      <c r="J1301" s="19">
        <v>0.67</v>
      </c>
      <c r="K1301" s="16">
        <v>76.2</v>
      </c>
      <c r="L1301" s="19">
        <v>0.90200000000000002</v>
      </c>
      <c r="M1301" s="19">
        <v>2.8000000000000001E-2</v>
      </c>
      <c r="N1301" s="21">
        <v>71460.679999999993</v>
      </c>
      <c r="O1301" s="21">
        <v>47977.89</v>
      </c>
      <c r="P1301" s="26">
        <v>23482.79</v>
      </c>
    </row>
    <row r="1302" spans="1:16" x14ac:dyDescent="0.3">
      <c r="A1302" s="25">
        <v>1301</v>
      </c>
      <c r="B1302" s="16" t="s">
        <v>60</v>
      </c>
      <c r="C1302" s="16">
        <v>2025</v>
      </c>
      <c r="D1302" s="16" t="s">
        <v>39</v>
      </c>
      <c r="E1302" s="16" t="s">
        <v>31</v>
      </c>
      <c r="F1302" s="16" t="s">
        <v>29</v>
      </c>
      <c r="G1302" s="16">
        <v>51</v>
      </c>
      <c r="H1302" s="16">
        <v>6029</v>
      </c>
      <c r="I1302" s="16">
        <v>288.2</v>
      </c>
      <c r="J1302" s="19">
        <v>0.61099999999999999</v>
      </c>
      <c r="K1302" s="16">
        <v>81.3</v>
      </c>
      <c r="L1302" s="19">
        <v>0.86199999999999999</v>
      </c>
      <c r="M1302" s="19">
        <v>0.03</v>
      </c>
      <c r="N1302" s="21">
        <v>64990.720000000001</v>
      </c>
      <c r="O1302" s="21">
        <v>44330.55</v>
      </c>
      <c r="P1302" s="26">
        <v>20660.169999999998</v>
      </c>
    </row>
    <row r="1303" spans="1:16" x14ac:dyDescent="0.3">
      <c r="A1303" s="25">
        <v>1302</v>
      </c>
      <c r="B1303" s="16" t="s">
        <v>60</v>
      </c>
      <c r="C1303" s="16">
        <v>2025</v>
      </c>
      <c r="D1303" s="16" t="s">
        <v>39</v>
      </c>
      <c r="E1303" s="16" t="s">
        <v>27</v>
      </c>
      <c r="F1303" s="16" t="s">
        <v>33</v>
      </c>
      <c r="G1303" s="16">
        <v>48</v>
      </c>
      <c r="H1303" s="16">
        <v>6055</v>
      </c>
      <c r="I1303" s="16">
        <v>426.7</v>
      </c>
      <c r="J1303" s="19">
        <v>0.85199999999999998</v>
      </c>
      <c r="K1303" s="16">
        <v>89.3</v>
      </c>
      <c r="L1303" s="19">
        <v>0.88300000000000001</v>
      </c>
      <c r="M1303" s="19">
        <v>2.4E-2</v>
      </c>
      <c r="N1303" s="21">
        <v>57263.87</v>
      </c>
      <c r="O1303" s="21">
        <v>39062.79</v>
      </c>
      <c r="P1303" s="26">
        <v>18201.080000000002</v>
      </c>
    </row>
    <row r="1304" spans="1:16" x14ac:dyDescent="0.3">
      <c r="A1304" s="25">
        <v>1303</v>
      </c>
      <c r="B1304" s="16" t="s">
        <v>60</v>
      </c>
      <c r="C1304" s="16">
        <v>2025</v>
      </c>
      <c r="D1304" s="16" t="s">
        <v>39</v>
      </c>
      <c r="E1304" s="16" t="s">
        <v>35</v>
      </c>
      <c r="F1304" s="16" t="s">
        <v>33</v>
      </c>
      <c r="G1304" s="16">
        <v>35</v>
      </c>
      <c r="H1304" s="16">
        <v>5140</v>
      </c>
      <c r="I1304" s="16">
        <v>516.29999999999995</v>
      </c>
      <c r="J1304" s="19">
        <v>0.753</v>
      </c>
      <c r="K1304" s="16">
        <v>79</v>
      </c>
      <c r="L1304" s="19">
        <v>0.876</v>
      </c>
      <c r="M1304" s="19">
        <v>3.5000000000000003E-2</v>
      </c>
      <c r="N1304" s="21">
        <v>58038.15</v>
      </c>
      <c r="O1304" s="21">
        <v>40200.25</v>
      </c>
      <c r="P1304" s="26">
        <v>17837.900000000001</v>
      </c>
    </row>
    <row r="1305" spans="1:16" x14ac:dyDescent="0.3">
      <c r="A1305" s="25">
        <v>1304</v>
      </c>
      <c r="B1305" s="16" t="s">
        <v>60</v>
      </c>
      <c r="C1305" s="16">
        <v>2025</v>
      </c>
      <c r="D1305" s="16" t="s">
        <v>39</v>
      </c>
      <c r="E1305" s="16" t="s">
        <v>27</v>
      </c>
      <c r="F1305" s="16" t="s">
        <v>36</v>
      </c>
      <c r="G1305" s="16">
        <v>5</v>
      </c>
      <c r="H1305" s="16">
        <v>876</v>
      </c>
      <c r="I1305" s="16">
        <v>880.8</v>
      </c>
      <c r="J1305" s="19">
        <v>0.84599999999999997</v>
      </c>
      <c r="K1305" s="16">
        <v>83.9</v>
      </c>
      <c r="L1305" s="19">
        <v>0.91100000000000003</v>
      </c>
      <c r="M1305" s="19">
        <v>2.8000000000000001E-2</v>
      </c>
      <c r="N1305" s="21">
        <v>7403.6</v>
      </c>
      <c r="O1305" s="21">
        <v>5397.8</v>
      </c>
      <c r="P1305" s="26">
        <v>2005.8</v>
      </c>
    </row>
    <row r="1306" spans="1:16" x14ac:dyDescent="0.3">
      <c r="A1306" s="25">
        <v>1305</v>
      </c>
      <c r="B1306" s="16" t="s">
        <v>60</v>
      </c>
      <c r="C1306" s="16">
        <v>2025</v>
      </c>
      <c r="D1306" s="16" t="s">
        <v>39</v>
      </c>
      <c r="E1306" s="16" t="s">
        <v>34</v>
      </c>
      <c r="F1306" s="16" t="s">
        <v>36</v>
      </c>
      <c r="G1306" s="16">
        <v>54</v>
      </c>
      <c r="H1306" s="16">
        <v>7266</v>
      </c>
      <c r="I1306" s="16">
        <v>888.5</v>
      </c>
      <c r="J1306" s="19">
        <v>0.63700000000000001</v>
      </c>
      <c r="K1306" s="16">
        <v>82.4</v>
      </c>
      <c r="L1306" s="19">
        <v>0.92700000000000005</v>
      </c>
      <c r="M1306" s="19">
        <v>2.1999999999999999E-2</v>
      </c>
      <c r="N1306" s="21">
        <v>74071.03</v>
      </c>
      <c r="O1306" s="21">
        <v>54686.18</v>
      </c>
      <c r="P1306" s="26">
        <v>19384.849999999999</v>
      </c>
    </row>
    <row r="1307" spans="1:16" x14ac:dyDescent="0.3">
      <c r="A1307" s="25">
        <v>1306</v>
      </c>
      <c r="B1307" s="16" t="s">
        <v>60</v>
      </c>
      <c r="C1307" s="16">
        <v>2025</v>
      </c>
      <c r="D1307" s="16" t="s">
        <v>39</v>
      </c>
      <c r="E1307" s="16" t="s">
        <v>35</v>
      </c>
      <c r="F1307" s="16" t="s">
        <v>36</v>
      </c>
      <c r="G1307" s="16">
        <v>93</v>
      </c>
      <c r="H1307" s="16">
        <v>11410</v>
      </c>
      <c r="I1307" s="16">
        <v>836.8</v>
      </c>
      <c r="J1307" s="19">
        <v>0.80100000000000005</v>
      </c>
      <c r="K1307" s="16">
        <v>80.099999999999994</v>
      </c>
      <c r="L1307" s="19">
        <v>1</v>
      </c>
      <c r="M1307" s="19">
        <v>3.4000000000000002E-2</v>
      </c>
      <c r="N1307" s="21">
        <v>154901.65</v>
      </c>
      <c r="O1307" s="21">
        <v>118443.41</v>
      </c>
      <c r="P1307" s="26">
        <v>36458.239999999998</v>
      </c>
    </row>
    <row r="1308" spans="1:16" x14ac:dyDescent="0.3">
      <c r="A1308" s="25">
        <v>1307</v>
      </c>
      <c r="B1308" s="16" t="s">
        <v>60</v>
      </c>
      <c r="C1308" s="16">
        <v>2025</v>
      </c>
      <c r="D1308" s="16" t="s">
        <v>39</v>
      </c>
      <c r="E1308" s="16" t="s">
        <v>32</v>
      </c>
      <c r="F1308" s="16" t="s">
        <v>37</v>
      </c>
      <c r="G1308" s="16">
        <v>86</v>
      </c>
      <c r="H1308" s="16">
        <v>12176</v>
      </c>
      <c r="I1308" s="16">
        <v>631.70000000000005</v>
      </c>
      <c r="J1308" s="19">
        <v>0.53900000000000003</v>
      </c>
      <c r="K1308" s="16">
        <v>80.5</v>
      </c>
      <c r="L1308" s="19">
        <v>0.91900000000000004</v>
      </c>
      <c r="M1308" s="19">
        <v>8.0000000000000002E-3</v>
      </c>
      <c r="N1308" s="21">
        <v>123685.15</v>
      </c>
      <c r="O1308" s="21">
        <v>96345.46</v>
      </c>
      <c r="P1308" s="26">
        <v>27339.69</v>
      </c>
    </row>
    <row r="1309" spans="1:16" x14ac:dyDescent="0.3">
      <c r="A1309" s="25">
        <v>1308</v>
      </c>
      <c r="B1309" s="16" t="s">
        <v>60</v>
      </c>
      <c r="C1309" s="16">
        <v>2025</v>
      </c>
      <c r="D1309" s="16" t="s">
        <v>39</v>
      </c>
      <c r="E1309" s="16" t="s">
        <v>30</v>
      </c>
      <c r="F1309" s="16" t="s">
        <v>37</v>
      </c>
      <c r="G1309" s="16">
        <v>49</v>
      </c>
      <c r="H1309" s="16">
        <v>8069</v>
      </c>
      <c r="I1309" s="16">
        <v>665.9</v>
      </c>
      <c r="J1309" s="19">
        <v>0.748</v>
      </c>
      <c r="K1309" s="16">
        <v>74.400000000000006</v>
      </c>
      <c r="L1309" s="19">
        <v>0.98899999999999999</v>
      </c>
      <c r="M1309" s="19">
        <v>2.8000000000000001E-2</v>
      </c>
      <c r="N1309" s="21">
        <v>66674.960000000006</v>
      </c>
      <c r="O1309" s="21">
        <v>51166.75</v>
      </c>
      <c r="P1309" s="26">
        <v>15508.21</v>
      </c>
    </row>
    <row r="1310" spans="1:16" x14ac:dyDescent="0.3">
      <c r="A1310" s="25">
        <v>1309</v>
      </c>
      <c r="B1310" s="16" t="s">
        <v>60</v>
      </c>
      <c r="C1310" s="16">
        <v>2025</v>
      </c>
      <c r="D1310" s="16" t="s">
        <v>40</v>
      </c>
      <c r="E1310" s="16" t="s">
        <v>32</v>
      </c>
      <c r="F1310" s="16" t="s">
        <v>28</v>
      </c>
      <c r="G1310" s="16">
        <v>51</v>
      </c>
      <c r="H1310" s="16">
        <v>7431</v>
      </c>
      <c r="I1310" s="16">
        <v>458.7</v>
      </c>
      <c r="J1310" s="19">
        <v>0.90700000000000003</v>
      </c>
      <c r="K1310" s="16">
        <v>84.2</v>
      </c>
      <c r="L1310" s="19">
        <v>1</v>
      </c>
      <c r="M1310" s="19">
        <v>2.1000000000000001E-2</v>
      </c>
      <c r="N1310" s="21">
        <v>95975.62</v>
      </c>
      <c r="O1310" s="21">
        <v>73307.12</v>
      </c>
      <c r="P1310" s="26">
        <v>22668.5</v>
      </c>
    </row>
    <row r="1311" spans="1:16" x14ac:dyDescent="0.3">
      <c r="A1311" s="25">
        <v>1310</v>
      </c>
      <c r="B1311" s="16" t="s">
        <v>60</v>
      </c>
      <c r="C1311" s="16">
        <v>2025</v>
      </c>
      <c r="D1311" s="16" t="s">
        <v>40</v>
      </c>
      <c r="E1311" s="16" t="s">
        <v>27</v>
      </c>
      <c r="F1311" s="16" t="s">
        <v>28</v>
      </c>
      <c r="G1311" s="16">
        <v>49</v>
      </c>
      <c r="H1311" s="16">
        <v>6959</v>
      </c>
      <c r="I1311" s="16">
        <v>415.9</v>
      </c>
      <c r="J1311" s="19">
        <v>0.72199999999999998</v>
      </c>
      <c r="K1311" s="16">
        <v>83</v>
      </c>
      <c r="L1311" s="19">
        <v>0.85099999999999998</v>
      </c>
      <c r="M1311" s="19">
        <v>4.2999999999999997E-2</v>
      </c>
      <c r="N1311" s="21">
        <v>65748.11</v>
      </c>
      <c r="O1311" s="21">
        <v>48466.77</v>
      </c>
      <c r="P1311" s="26">
        <v>17281.34</v>
      </c>
    </row>
    <row r="1312" spans="1:16" x14ac:dyDescent="0.3">
      <c r="A1312" s="25">
        <v>1311</v>
      </c>
      <c r="B1312" s="16" t="s">
        <v>60</v>
      </c>
      <c r="C1312" s="16">
        <v>2025</v>
      </c>
      <c r="D1312" s="16" t="s">
        <v>40</v>
      </c>
      <c r="E1312" s="16" t="s">
        <v>31</v>
      </c>
      <c r="F1312" s="16" t="s">
        <v>28</v>
      </c>
      <c r="G1312" s="16">
        <v>16</v>
      </c>
      <c r="H1312" s="16">
        <v>2468</v>
      </c>
      <c r="I1312" s="16">
        <v>366.4</v>
      </c>
      <c r="J1312" s="19">
        <v>0.83</v>
      </c>
      <c r="K1312" s="16">
        <v>79.8</v>
      </c>
      <c r="L1312" s="19">
        <v>0.92700000000000005</v>
      </c>
      <c r="M1312" s="19">
        <v>3.2000000000000001E-2</v>
      </c>
      <c r="N1312" s="21">
        <v>22850.94</v>
      </c>
      <c r="O1312" s="21">
        <v>16755.740000000002</v>
      </c>
      <c r="P1312" s="26">
        <v>6095.2</v>
      </c>
    </row>
    <row r="1313" spans="1:16" x14ac:dyDescent="0.3">
      <c r="A1313" s="25">
        <v>1312</v>
      </c>
      <c r="B1313" s="16" t="s">
        <v>60</v>
      </c>
      <c r="C1313" s="16">
        <v>2025</v>
      </c>
      <c r="D1313" s="16" t="s">
        <v>40</v>
      </c>
      <c r="E1313" s="16" t="s">
        <v>27</v>
      </c>
      <c r="F1313" s="16" t="s">
        <v>29</v>
      </c>
      <c r="G1313" s="16">
        <v>38</v>
      </c>
      <c r="H1313" s="16">
        <v>6023</v>
      </c>
      <c r="I1313" s="16">
        <v>266.7</v>
      </c>
      <c r="J1313" s="19">
        <v>0.67100000000000004</v>
      </c>
      <c r="K1313" s="16">
        <v>78</v>
      </c>
      <c r="L1313" s="19">
        <v>0.85799999999999998</v>
      </c>
      <c r="M1313" s="19">
        <v>2.5000000000000001E-2</v>
      </c>
      <c r="N1313" s="21">
        <v>49104.15</v>
      </c>
      <c r="O1313" s="21">
        <v>34177.64</v>
      </c>
      <c r="P1313" s="26">
        <v>14926.51</v>
      </c>
    </row>
    <row r="1314" spans="1:16" x14ac:dyDescent="0.3">
      <c r="A1314" s="25">
        <v>1313</v>
      </c>
      <c r="B1314" s="16" t="s">
        <v>60</v>
      </c>
      <c r="C1314" s="16">
        <v>2025</v>
      </c>
      <c r="D1314" s="16" t="s">
        <v>40</v>
      </c>
      <c r="E1314" s="16" t="s">
        <v>32</v>
      </c>
      <c r="F1314" s="16" t="s">
        <v>33</v>
      </c>
      <c r="G1314" s="16">
        <v>72</v>
      </c>
      <c r="H1314" s="16">
        <v>8944</v>
      </c>
      <c r="I1314" s="16">
        <v>435.7</v>
      </c>
      <c r="J1314" s="19">
        <v>0.627</v>
      </c>
      <c r="K1314" s="16">
        <v>88</v>
      </c>
      <c r="L1314" s="19">
        <v>0.93300000000000005</v>
      </c>
      <c r="M1314" s="19">
        <v>2.5999999999999999E-2</v>
      </c>
      <c r="N1314" s="21">
        <v>92667.51</v>
      </c>
      <c r="O1314" s="21">
        <v>72128.28</v>
      </c>
      <c r="P1314" s="26">
        <v>20539.23</v>
      </c>
    </row>
    <row r="1315" spans="1:16" x14ac:dyDescent="0.3">
      <c r="A1315" s="25">
        <v>1314</v>
      </c>
      <c r="B1315" s="16" t="s">
        <v>60</v>
      </c>
      <c r="C1315" s="16">
        <v>2025</v>
      </c>
      <c r="D1315" s="16" t="s">
        <v>40</v>
      </c>
      <c r="E1315" s="16" t="s">
        <v>34</v>
      </c>
      <c r="F1315" s="16" t="s">
        <v>33</v>
      </c>
      <c r="G1315" s="16">
        <v>83</v>
      </c>
      <c r="H1315" s="16">
        <v>12785</v>
      </c>
      <c r="I1315" s="16">
        <v>494.6</v>
      </c>
      <c r="J1315" s="19">
        <v>0.77300000000000002</v>
      </c>
      <c r="K1315" s="16">
        <v>69</v>
      </c>
      <c r="L1315" s="19">
        <v>0.86</v>
      </c>
      <c r="M1315" s="19">
        <v>2.1999999999999999E-2</v>
      </c>
      <c r="N1315" s="21">
        <v>156507.84</v>
      </c>
      <c r="O1315" s="21">
        <v>108498.23</v>
      </c>
      <c r="P1315" s="26">
        <v>48009.61</v>
      </c>
    </row>
    <row r="1316" spans="1:16" x14ac:dyDescent="0.3">
      <c r="A1316" s="25">
        <v>1315</v>
      </c>
      <c r="B1316" s="16" t="s">
        <v>60</v>
      </c>
      <c r="C1316" s="16">
        <v>2025</v>
      </c>
      <c r="D1316" s="16" t="s">
        <v>40</v>
      </c>
      <c r="E1316" s="16" t="s">
        <v>27</v>
      </c>
      <c r="F1316" s="16" t="s">
        <v>36</v>
      </c>
      <c r="G1316" s="16">
        <v>52</v>
      </c>
      <c r="H1316" s="16">
        <v>5618</v>
      </c>
      <c r="I1316" s="16">
        <v>869.9</v>
      </c>
      <c r="J1316" s="19">
        <v>0.68200000000000005</v>
      </c>
      <c r="K1316" s="16">
        <v>85</v>
      </c>
      <c r="L1316" s="19">
        <v>0.83799999999999997</v>
      </c>
      <c r="M1316" s="19">
        <v>2.1000000000000001E-2</v>
      </c>
      <c r="N1316" s="21">
        <v>62216.73</v>
      </c>
      <c r="O1316" s="21">
        <v>44227.54</v>
      </c>
      <c r="P1316" s="26">
        <v>17989.189999999999</v>
      </c>
    </row>
    <row r="1317" spans="1:16" x14ac:dyDescent="0.3">
      <c r="A1317" s="25">
        <v>1316</v>
      </c>
      <c r="B1317" s="16" t="s">
        <v>60</v>
      </c>
      <c r="C1317" s="16">
        <v>2025</v>
      </c>
      <c r="D1317" s="16" t="s">
        <v>40</v>
      </c>
      <c r="E1317" s="16" t="s">
        <v>30</v>
      </c>
      <c r="F1317" s="16" t="s">
        <v>36</v>
      </c>
      <c r="G1317" s="16">
        <v>59</v>
      </c>
      <c r="H1317" s="16">
        <v>7290</v>
      </c>
      <c r="I1317" s="16">
        <v>781.8</v>
      </c>
      <c r="J1317" s="19">
        <v>0.66900000000000004</v>
      </c>
      <c r="K1317" s="16">
        <v>79.7</v>
      </c>
      <c r="L1317" s="19">
        <v>1</v>
      </c>
      <c r="M1317" s="19">
        <v>2.8000000000000001E-2</v>
      </c>
      <c r="N1317" s="21">
        <v>85339.47</v>
      </c>
      <c r="O1317" s="21">
        <v>59934.89</v>
      </c>
      <c r="P1317" s="26">
        <v>25404.58</v>
      </c>
    </row>
    <row r="1318" spans="1:16" x14ac:dyDescent="0.3">
      <c r="A1318" s="25">
        <v>1317</v>
      </c>
      <c r="B1318" s="16" t="s">
        <v>60</v>
      </c>
      <c r="C1318" s="16">
        <v>2025</v>
      </c>
      <c r="D1318" s="16" t="s">
        <v>40</v>
      </c>
      <c r="E1318" s="16" t="s">
        <v>34</v>
      </c>
      <c r="F1318" s="16" t="s">
        <v>36</v>
      </c>
      <c r="G1318" s="16">
        <v>39</v>
      </c>
      <c r="H1318" s="16">
        <v>5665</v>
      </c>
      <c r="I1318" s="16">
        <v>971.2</v>
      </c>
      <c r="J1318" s="19">
        <v>0.81</v>
      </c>
      <c r="K1318" s="16">
        <v>81.099999999999994</v>
      </c>
      <c r="L1318" s="19">
        <v>0.81399999999999995</v>
      </c>
      <c r="M1318" s="19">
        <v>2.8000000000000001E-2</v>
      </c>
      <c r="N1318" s="21">
        <v>65674.350000000006</v>
      </c>
      <c r="O1318" s="21">
        <v>46045.63</v>
      </c>
      <c r="P1318" s="26">
        <v>19628.72</v>
      </c>
    </row>
    <row r="1319" spans="1:16" x14ac:dyDescent="0.3">
      <c r="A1319" s="25">
        <v>1318</v>
      </c>
      <c r="B1319" s="16" t="s">
        <v>60</v>
      </c>
      <c r="C1319" s="16">
        <v>2025</v>
      </c>
      <c r="D1319" s="16" t="s">
        <v>40</v>
      </c>
      <c r="E1319" s="16" t="s">
        <v>31</v>
      </c>
      <c r="F1319" s="16" t="s">
        <v>36</v>
      </c>
      <c r="G1319" s="16">
        <v>38</v>
      </c>
      <c r="H1319" s="16">
        <v>5528</v>
      </c>
      <c r="I1319" s="16">
        <v>916.7</v>
      </c>
      <c r="J1319" s="19">
        <v>0.70499999999999996</v>
      </c>
      <c r="K1319" s="16">
        <v>84.9</v>
      </c>
      <c r="L1319" s="19">
        <v>0.96</v>
      </c>
      <c r="M1319" s="19">
        <v>2.3E-2</v>
      </c>
      <c r="N1319" s="21">
        <v>57313.34</v>
      </c>
      <c r="O1319" s="21">
        <v>38119.870000000003</v>
      </c>
      <c r="P1319" s="26">
        <v>19193.47</v>
      </c>
    </row>
    <row r="1320" spans="1:16" x14ac:dyDescent="0.3">
      <c r="A1320" s="25">
        <v>1319</v>
      </c>
      <c r="B1320" s="16" t="s">
        <v>60</v>
      </c>
      <c r="C1320" s="16">
        <v>2025</v>
      </c>
      <c r="D1320" s="16" t="s">
        <v>40</v>
      </c>
      <c r="E1320" s="16" t="s">
        <v>32</v>
      </c>
      <c r="F1320" s="16" t="s">
        <v>37</v>
      </c>
      <c r="G1320" s="16">
        <v>40</v>
      </c>
      <c r="H1320" s="16">
        <v>5444</v>
      </c>
      <c r="I1320" s="16">
        <v>621.20000000000005</v>
      </c>
      <c r="J1320" s="19">
        <v>0.69599999999999995</v>
      </c>
      <c r="K1320" s="16">
        <v>83.8</v>
      </c>
      <c r="L1320" s="19">
        <v>0.91800000000000004</v>
      </c>
      <c r="M1320" s="19">
        <v>3.6999999999999998E-2</v>
      </c>
      <c r="N1320" s="21">
        <v>57219.44</v>
      </c>
      <c r="O1320" s="21">
        <v>36502.47</v>
      </c>
      <c r="P1320" s="26">
        <v>20716.97</v>
      </c>
    </row>
    <row r="1321" spans="1:16" x14ac:dyDescent="0.3">
      <c r="A1321" s="25">
        <v>1320</v>
      </c>
      <c r="B1321" s="16" t="s">
        <v>60</v>
      </c>
      <c r="C1321" s="16">
        <v>2025</v>
      </c>
      <c r="D1321" s="16" t="s">
        <v>40</v>
      </c>
      <c r="E1321" s="16" t="s">
        <v>30</v>
      </c>
      <c r="F1321" s="16" t="s">
        <v>37</v>
      </c>
      <c r="G1321" s="16">
        <v>56</v>
      </c>
      <c r="H1321" s="16">
        <v>7727</v>
      </c>
      <c r="I1321" s="16">
        <v>677.1</v>
      </c>
      <c r="J1321" s="19">
        <v>0.64100000000000001</v>
      </c>
      <c r="K1321" s="16">
        <v>81.599999999999994</v>
      </c>
      <c r="L1321" s="19">
        <v>0.84399999999999997</v>
      </c>
      <c r="M1321" s="19">
        <v>3.5999999999999997E-2</v>
      </c>
      <c r="N1321" s="21">
        <v>58830.11</v>
      </c>
      <c r="O1321" s="21">
        <v>39702.22</v>
      </c>
      <c r="P1321" s="26">
        <v>19127.89</v>
      </c>
    </row>
    <row r="1322" spans="1:16" x14ac:dyDescent="0.3">
      <c r="A1322" s="25">
        <v>1321</v>
      </c>
      <c r="B1322" s="16" t="s">
        <v>60</v>
      </c>
      <c r="C1322" s="16">
        <v>2025</v>
      </c>
      <c r="D1322" s="16" t="s">
        <v>40</v>
      </c>
      <c r="E1322" s="16" t="s">
        <v>35</v>
      </c>
      <c r="F1322" s="16" t="s">
        <v>37</v>
      </c>
      <c r="G1322" s="16">
        <v>44</v>
      </c>
      <c r="H1322" s="16">
        <v>6598</v>
      </c>
      <c r="I1322" s="16">
        <v>676.7</v>
      </c>
      <c r="J1322" s="19">
        <v>0.65700000000000003</v>
      </c>
      <c r="K1322" s="16">
        <v>82</v>
      </c>
      <c r="L1322" s="19">
        <v>0.88700000000000001</v>
      </c>
      <c r="M1322" s="19">
        <v>2.5999999999999999E-2</v>
      </c>
      <c r="N1322" s="21">
        <v>55776.25</v>
      </c>
      <c r="O1322" s="21">
        <v>39413.1</v>
      </c>
      <c r="P1322" s="26">
        <v>16363.15</v>
      </c>
    </row>
    <row r="1323" spans="1:16" x14ac:dyDescent="0.3">
      <c r="A1323" s="25">
        <v>1322</v>
      </c>
      <c r="B1323" s="16" t="s">
        <v>60</v>
      </c>
      <c r="C1323" s="16">
        <v>2025</v>
      </c>
      <c r="D1323" s="16" t="s">
        <v>41</v>
      </c>
      <c r="E1323" s="16" t="s">
        <v>32</v>
      </c>
      <c r="F1323" s="16" t="s">
        <v>28</v>
      </c>
      <c r="G1323" s="16">
        <v>90</v>
      </c>
      <c r="H1323" s="16">
        <v>11751</v>
      </c>
      <c r="I1323" s="16">
        <v>416.6</v>
      </c>
      <c r="J1323" s="19">
        <v>0.7</v>
      </c>
      <c r="K1323" s="16">
        <v>82</v>
      </c>
      <c r="L1323" s="19">
        <v>0.86899999999999999</v>
      </c>
      <c r="M1323" s="19">
        <v>3.9E-2</v>
      </c>
      <c r="N1323" s="21">
        <v>199870.96</v>
      </c>
      <c r="O1323" s="21">
        <v>134588.29</v>
      </c>
      <c r="P1323" s="26">
        <v>65282.67</v>
      </c>
    </row>
    <row r="1324" spans="1:16" x14ac:dyDescent="0.3">
      <c r="A1324" s="25">
        <v>1323</v>
      </c>
      <c r="B1324" s="16" t="s">
        <v>60</v>
      </c>
      <c r="C1324" s="16">
        <v>2025</v>
      </c>
      <c r="D1324" s="16" t="s">
        <v>41</v>
      </c>
      <c r="E1324" s="16" t="s">
        <v>31</v>
      </c>
      <c r="F1324" s="16" t="s">
        <v>28</v>
      </c>
      <c r="G1324" s="16">
        <v>42</v>
      </c>
      <c r="H1324" s="16">
        <v>6571</v>
      </c>
      <c r="I1324" s="16">
        <v>396.2</v>
      </c>
      <c r="J1324" s="19">
        <v>0.75700000000000001</v>
      </c>
      <c r="K1324" s="16">
        <v>92.9</v>
      </c>
      <c r="L1324" s="19">
        <v>0.93700000000000006</v>
      </c>
      <c r="M1324" s="19">
        <v>1.2999999999999999E-2</v>
      </c>
      <c r="N1324" s="21">
        <v>59966.43</v>
      </c>
      <c r="O1324" s="21">
        <v>41166.33</v>
      </c>
      <c r="P1324" s="26">
        <v>18800.099999999999</v>
      </c>
    </row>
    <row r="1325" spans="1:16" x14ac:dyDescent="0.3">
      <c r="A1325" s="25">
        <v>1324</v>
      </c>
      <c r="B1325" s="16" t="s">
        <v>60</v>
      </c>
      <c r="C1325" s="16">
        <v>2025</v>
      </c>
      <c r="D1325" s="16" t="s">
        <v>41</v>
      </c>
      <c r="E1325" s="16" t="s">
        <v>27</v>
      </c>
      <c r="F1325" s="16" t="s">
        <v>29</v>
      </c>
      <c r="G1325" s="16">
        <v>34</v>
      </c>
      <c r="H1325" s="16">
        <v>4894</v>
      </c>
      <c r="I1325" s="16">
        <v>317.3</v>
      </c>
      <c r="J1325" s="19">
        <v>0.58799999999999997</v>
      </c>
      <c r="K1325" s="16">
        <v>80.400000000000006</v>
      </c>
      <c r="L1325" s="19">
        <v>0.82899999999999996</v>
      </c>
      <c r="M1325" s="19">
        <v>3.1E-2</v>
      </c>
      <c r="N1325" s="21">
        <v>55603.78</v>
      </c>
      <c r="O1325" s="21">
        <v>37244.54</v>
      </c>
      <c r="P1325" s="26">
        <v>18359.240000000002</v>
      </c>
    </row>
    <row r="1326" spans="1:16" x14ac:dyDescent="0.3">
      <c r="A1326" s="25">
        <v>1325</v>
      </c>
      <c r="B1326" s="16" t="s">
        <v>60</v>
      </c>
      <c r="C1326" s="16">
        <v>2025</v>
      </c>
      <c r="D1326" s="16" t="s">
        <v>41</v>
      </c>
      <c r="E1326" s="16" t="s">
        <v>34</v>
      </c>
      <c r="F1326" s="16" t="s">
        <v>29</v>
      </c>
      <c r="G1326" s="16">
        <v>69</v>
      </c>
      <c r="H1326" s="16">
        <v>9145</v>
      </c>
      <c r="I1326" s="16">
        <v>333.8</v>
      </c>
      <c r="J1326" s="19">
        <v>0.68200000000000005</v>
      </c>
      <c r="K1326" s="16">
        <v>78.7</v>
      </c>
      <c r="L1326" s="19">
        <v>0.97799999999999998</v>
      </c>
      <c r="M1326" s="19">
        <v>1.4E-2</v>
      </c>
      <c r="N1326" s="21">
        <v>106659.69</v>
      </c>
      <c r="O1326" s="21">
        <v>67459.83</v>
      </c>
      <c r="P1326" s="26">
        <v>39199.86</v>
      </c>
    </row>
    <row r="1327" spans="1:16" x14ac:dyDescent="0.3">
      <c r="A1327" s="25">
        <v>1326</v>
      </c>
      <c r="B1327" s="16" t="s">
        <v>60</v>
      </c>
      <c r="C1327" s="16">
        <v>2025</v>
      </c>
      <c r="D1327" s="16" t="s">
        <v>41</v>
      </c>
      <c r="E1327" s="16" t="s">
        <v>31</v>
      </c>
      <c r="F1327" s="16" t="s">
        <v>29</v>
      </c>
      <c r="G1327" s="16">
        <v>44</v>
      </c>
      <c r="H1327" s="16">
        <v>6090</v>
      </c>
      <c r="I1327" s="16">
        <v>268.7</v>
      </c>
      <c r="J1327" s="19">
        <v>0.59199999999999997</v>
      </c>
      <c r="K1327" s="16">
        <v>84.4</v>
      </c>
      <c r="L1327" s="19">
        <v>0.85099999999999998</v>
      </c>
      <c r="M1327" s="19">
        <v>1.2E-2</v>
      </c>
      <c r="N1327" s="21">
        <v>60256.25</v>
      </c>
      <c r="O1327" s="21">
        <v>46018.79</v>
      </c>
      <c r="P1327" s="26">
        <v>14237.46</v>
      </c>
    </row>
    <row r="1328" spans="1:16" x14ac:dyDescent="0.3">
      <c r="A1328" s="25">
        <v>1327</v>
      </c>
      <c r="B1328" s="16" t="s">
        <v>60</v>
      </c>
      <c r="C1328" s="16">
        <v>2025</v>
      </c>
      <c r="D1328" s="16" t="s">
        <v>41</v>
      </c>
      <c r="E1328" s="16" t="s">
        <v>27</v>
      </c>
      <c r="F1328" s="16" t="s">
        <v>33</v>
      </c>
      <c r="G1328" s="16">
        <v>84</v>
      </c>
      <c r="H1328" s="16">
        <v>10225</v>
      </c>
      <c r="I1328" s="16">
        <v>523.29999999999995</v>
      </c>
      <c r="J1328" s="19">
        <v>0.69699999999999995</v>
      </c>
      <c r="K1328" s="16">
        <v>83.6</v>
      </c>
      <c r="L1328" s="19">
        <v>0.89700000000000002</v>
      </c>
      <c r="M1328" s="19">
        <v>1.2999999999999999E-2</v>
      </c>
      <c r="N1328" s="21">
        <v>159005.5</v>
      </c>
      <c r="O1328" s="21">
        <v>103882.69</v>
      </c>
      <c r="P1328" s="26">
        <v>55122.81</v>
      </c>
    </row>
    <row r="1329" spans="1:16" x14ac:dyDescent="0.3">
      <c r="A1329" s="25">
        <v>1328</v>
      </c>
      <c r="B1329" s="16" t="s">
        <v>60</v>
      </c>
      <c r="C1329" s="16">
        <v>2025</v>
      </c>
      <c r="D1329" s="16" t="s">
        <v>41</v>
      </c>
      <c r="E1329" s="16" t="s">
        <v>30</v>
      </c>
      <c r="F1329" s="16" t="s">
        <v>33</v>
      </c>
      <c r="G1329" s="16">
        <v>33</v>
      </c>
      <c r="H1329" s="16">
        <v>4067</v>
      </c>
      <c r="I1329" s="16">
        <v>475.5</v>
      </c>
      <c r="J1329" s="19">
        <v>0.72699999999999998</v>
      </c>
      <c r="K1329" s="16">
        <v>83.2</v>
      </c>
      <c r="L1329" s="19">
        <v>1</v>
      </c>
      <c r="M1329" s="19">
        <v>2.3E-2</v>
      </c>
      <c r="N1329" s="21">
        <v>55564.01</v>
      </c>
      <c r="O1329" s="21">
        <v>41995.16</v>
      </c>
      <c r="P1329" s="26">
        <v>13568.85</v>
      </c>
    </row>
    <row r="1330" spans="1:16" x14ac:dyDescent="0.3">
      <c r="A1330" s="25">
        <v>1329</v>
      </c>
      <c r="B1330" s="16" t="s">
        <v>60</v>
      </c>
      <c r="C1330" s="16">
        <v>2025</v>
      </c>
      <c r="D1330" s="16" t="s">
        <v>41</v>
      </c>
      <c r="E1330" s="16" t="s">
        <v>31</v>
      </c>
      <c r="F1330" s="16" t="s">
        <v>33</v>
      </c>
      <c r="G1330" s="16">
        <v>61</v>
      </c>
      <c r="H1330" s="16">
        <v>7306</v>
      </c>
      <c r="I1330" s="16">
        <v>441.1</v>
      </c>
      <c r="J1330" s="19">
        <v>0.72899999999999998</v>
      </c>
      <c r="K1330" s="16">
        <v>83.3</v>
      </c>
      <c r="L1330" s="19">
        <v>0.872</v>
      </c>
      <c r="M1330" s="19">
        <v>2.7E-2</v>
      </c>
      <c r="N1330" s="21">
        <v>94238.69</v>
      </c>
      <c r="O1330" s="21">
        <v>68278.42</v>
      </c>
      <c r="P1330" s="26">
        <v>25960.27</v>
      </c>
    </row>
    <row r="1331" spans="1:16" x14ac:dyDescent="0.3">
      <c r="A1331" s="25">
        <v>1330</v>
      </c>
      <c r="B1331" s="16" t="s">
        <v>60</v>
      </c>
      <c r="C1331" s="16">
        <v>2025</v>
      </c>
      <c r="D1331" s="16" t="s">
        <v>41</v>
      </c>
      <c r="E1331" s="16" t="s">
        <v>27</v>
      </c>
      <c r="F1331" s="16" t="s">
        <v>37</v>
      </c>
      <c r="G1331" s="16">
        <v>61</v>
      </c>
      <c r="H1331" s="16">
        <v>8945</v>
      </c>
      <c r="I1331" s="16">
        <v>652.4</v>
      </c>
      <c r="J1331" s="19">
        <v>0.57999999999999996</v>
      </c>
      <c r="K1331" s="16">
        <v>77.400000000000006</v>
      </c>
      <c r="L1331" s="19">
        <v>0.92900000000000005</v>
      </c>
      <c r="M1331" s="19">
        <v>7.0000000000000001E-3</v>
      </c>
      <c r="N1331" s="21">
        <v>103157.66</v>
      </c>
      <c r="O1331" s="21">
        <v>80333.429999999993</v>
      </c>
      <c r="P1331" s="26">
        <v>22824.23</v>
      </c>
    </row>
    <row r="1332" spans="1:16" x14ac:dyDescent="0.3">
      <c r="A1332" s="25">
        <v>1331</v>
      </c>
      <c r="B1332" s="16" t="s">
        <v>60</v>
      </c>
      <c r="C1332" s="16">
        <v>2025</v>
      </c>
      <c r="D1332" s="16" t="s">
        <v>41</v>
      </c>
      <c r="E1332" s="16" t="s">
        <v>30</v>
      </c>
      <c r="F1332" s="16" t="s">
        <v>37</v>
      </c>
      <c r="G1332" s="16">
        <v>34</v>
      </c>
      <c r="H1332" s="16">
        <v>4686</v>
      </c>
      <c r="I1332" s="16">
        <v>660.3</v>
      </c>
      <c r="J1332" s="19">
        <v>0.68500000000000005</v>
      </c>
      <c r="K1332" s="16">
        <v>80.2</v>
      </c>
      <c r="L1332" s="19">
        <v>0.94099999999999995</v>
      </c>
      <c r="M1332" s="19">
        <v>3.5999999999999997E-2</v>
      </c>
      <c r="N1332" s="21">
        <v>59511.19</v>
      </c>
      <c r="O1332" s="21">
        <v>38481.550000000003</v>
      </c>
      <c r="P1332" s="26">
        <v>21029.64</v>
      </c>
    </row>
    <row r="1333" spans="1:16" x14ac:dyDescent="0.3">
      <c r="A1333" s="25">
        <v>1332</v>
      </c>
      <c r="B1333" s="16" t="s">
        <v>60</v>
      </c>
      <c r="C1333" s="16">
        <v>2025</v>
      </c>
      <c r="D1333" s="16" t="s">
        <v>41</v>
      </c>
      <c r="E1333" s="16" t="s">
        <v>35</v>
      </c>
      <c r="F1333" s="16" t="s">
        <v>37</v>
      </c>
      <c r="G1333" s="16">
        <v>51</v>
      </c>
      <c r="H1333" s="16">
        <v>5414</v>
      </c>
      <c r="I1333" s="16">
        <v>638.79999999999995</v>
      </c>
      <c r="J1333" s="19">
        <v>0.67300000000000004</v>
      </c>
      <c r="K1333" s="16">
        <v>88.8</v>
      </c>
      <c r="L1333" s="19">
        <v>0.81100000000000005</v>
      </c>
      <c r="M1333" s="19">
        <v>1.0999999999999999E-2</v>
      </c>
      <c r="N1333" s="21">
        <v>92676.2</v>
      </c>
      <c r="O1333" s="21">
        <v>61346.77</v>
      </c>
      <c r="P1333" s="26">
        <v>31329.43</v>
      </c>
    </row>
    <row r="1334" spans="1:16" x14ac:dyDescent="0.3">
      <c r="A1334" s="25">
        <v>1333</v>
      </c>
      <c r="B1334" s="16" t="s">
        <v>61</v>
      </c>
      <c r="C1334" s="16">
        <v>2025</v>
      </c>
      <c r="D1334" s="16" t="s">
        <v>26</v>
      </c>
      <c r="E1334" s="16" t="s">
        <v>34</v>
      </c>
      <c r="F1334" s="16" t="s">
        <v>28</v>
      </c>
      <c r="G1334" s="16">
        <v>84</v>
      </c>
      <c r="H1334" s="16">
        <v>11057</v>
      </c>
      <c r="I1334" s="16">
        <v>425.9</v>
      </c>
      <c r="J1334" s="19">
        <v>0.69799999999999995</v>
      </c>
      <c r="K1334" s="16">
        <v>83.4</v>
      </c>
      <c r="L1334" s="19">
        <v>0.94199999999999995</v>
      </c>
      <c r="M1334" s="19">
        <v>8.0000000000000002E-3</v>
      </c>
      <c r="N1334" s="21">
        <v>111481.09</v>
      </c>
      <c r="O1334" s="21">
        <v>75436.5</v>
      </c>
      <c r="P1334" s="26">
        <v>36044.589999999997</v>
      </c>
    </row>
    <row r="1335" spans="1:16" x14ac:dyDescent="0.3">
      <c r="A1335" s="25">
        <v>1334</v>
      </c>
      <c r="B1335" s="16" t="s">
        <v>61</v>
      </c>
      <c r="C1335" s="16">
        <v>2025</v>
      </c>
      <c r="D1335" s="16" t="s">
        <v>26</v>
      </c>
      <c r="E1335" s="16" t="s">
        <v>31</v>
      </c>
      <c r="F1335" s="16" t="s">
        <v>28</v>
      </c>
      <c r="G1335" s="16">
        <v>52</v>
      </c>
      <c r="H1335" s="16">
        <v>7570</v>
      </c>
      <c r="I1335" s="16">
        <v>437.7</v>
      </c>
      <c r="J1335" s="19">
        <v>0.72799999999999998</v>
      </c>
      <c r="K1335" s="16">
        <v>70</v>
      </c>
      <c r="L1335" s="19">
        <v>0.89100000000000001</v>
      </c>
      <c r="M1335" s="19">
        <v>3.1E-2</v>
      </c>
      <c r="N1335" s="21">
        <v>59688.35</v>
      </c>
      <c r="O1335" s="21">
        <v>45632.52</v>
      </c>
      <c r="P1335" s="26">
        <v>14055.83</v>
      </c>
    </row>
    <row r="1336" spans="1:16" x14ac:dyDescent="0.3">
      <c r="A1336" s="25">
        <v>1335</v>
      </c>
      <c r="B1336" s="16" t="s">
        <v>61</v>
      </c>
      <c r="C1336" s="16">
        <v>2025</v>
      </c>
      <c r="D1336" s="16" t="s">
        <v>26</v>
      </c>
      <c r="E1336" s="16" t="s">
        <v>27</v>
      </c>
      <c r="F1336" s="16" t="s">
        <v>29</v>
      </c>
      <c r="G1336" s="16">
        <v>27</v>
      </c>
      <c r="H1336" s="16">
        <v>2785</v>
      </c>
      <c r="I1336" s="16">
        <v>254.8</v>
      </c>
      <c r="J1336" s="19">
        <v>0.79400000000000004</v>
      </c>
      <c r="K1336" s="16">
        <v>82.6</v>
      </c>
      <c r="L1336" s="19">
        <v>0.88900000000000001</v>
      </c>
      <c r="M1336" s="19">
        <v>0.03</v>
      </c>
      <c r="N1336" s="21">
        <v>34522.01</v>
      </c>
      <c r="O1336" s="21">
        <v>23448.62</v>
      </c>
      <c r="P1336" s="26">
        <v>11073.39</v>
      </c>
    </row>
    <row r="1337" spans="1:16" x14ac:dyDescent="0.3">
      <c r="A1337" s="25">
        <v>1336</v>
      </c>
      <c r="B1337" s="16" t="s">
        <v>61</v>
      </c>
      <c r="C1337" s="16">
        <v>2025</v>
      </c>
      <c r="D1337" s="16" t="s">
        <v>26</v>
      </c>
      <c r="E1337" s="16" t="s">
        <v>30</v>
      </c>
      <c r="F1337" s="16" t="s">
        <v>29</v>
      </c>
      <c r="G1337" s="16">
        <v>59</v>
      </c>
      <c r="H1337" s="16">
        <v>7674</v>
      </c>
      <c r="I1337" s="16">
        <v>377.6</v>
      </c>
      <c r="J1337" s="19">
        <v>0.69499999999999995</v>
      </c>
      <c r="K1337" s="16">
        <v>85.2</v>
      </c>
      <c r="L1337" s="19">
        <v>0.96299999999999997</v>
      </c>
      <c r="M1337" s="19">
        <v>2.1999999999999999E-2</v>
      </c>
      <c r="N1337" s="21">
        <v>67973.7</v>
      </c>
      <c r="O1337" s="21">
        <v>50354.12</v>
      </c>
      <c r="P1337" s="26">
        <v>17619.580000000002</v>
      </c>
    </row>
    <row r="1338" spans="1:16" x14ac:dyDescent="0.3">
      <c r="A1338" s="25">
        <v>1337</v>
      </c>
      <c r="B1338" s="16" t="s">
        <v>61</v>
      </c>
      <c r="C1338" s="16">
        <v>2025</v>
      </c>
      <c r="D1338" s="16" t="s">
        <v>26</v>
      </c>
      <c r="E1338" s="16" t="s">
        <v>31</v>
      </c>
      <c r="F1338" s="16" t="s">
        <v>29</v>
      </c>
      <c r="G1338" s="16">
        <v>59</v>
      </c>
      <c r="H1338" s="16">
        <v>9172</v>
      </c>
      <c r="I1338" s="16">
        <v>321.3</v>
      </c>
      <c r="J1338" s="19">
        <v>0.64800000000000002</v>
      </c>
      <c r="K1338" s="16">
        <v>80.599999999999994</v>
      </c>
      <c r="L1338" s="19">
        <v>0.98299999999999998</v>
      </c>
      <c r="M1338" s="19">
        <v>3.6999999999999998E-2</v>
      </c>
      <c r="N1338" s="21">
        <v>53717.64</v>
      </c>
      <c r="O1338" s="21">
        <v>38250.75</v>
      </c>
      <c r="P1338" s="26">
        <v>15466.89</v>
      </c>
    </row>
    <row r="1339" spans="1:16" x14ac:dyDescent="0.3">
      <c r="A1339" s="25">
        <v>1338</v>
      </c>
      <c r="B1339" s="16" t="s">
        <v>61</v>
      </c>
      <c r="C1339" s="16">
        <v>2025</v>
      </c>
      <c r="D1339" s="16" t="s">
        <v>26</v>
      </c>
      <c r="E1339" s="16" t="s">
        <v>30</v>
      </c>
      <c r="F1339" s="16" t="s">
        <v>33</v>
      </c>
      <c r="G1339" s="16">
        <v>22</v>
      </c>
      <c r="H1339" s="16">
        <v>2809</v>
      </c>
      <c r="I1339" s="16">
        <v>487.7</v>
      </c>
      <c r="J1339" s="19">
        <v>0.83599999999999997</v>
      </c>
      <c r="K1339" s="16">
        <v>83.1</v>
      </c>
      <c r="L1339" s="19">
        <v>0.91900000000000004</v>
      </c>
      <c r="M1339" s="19">
        <v>2.1999999999999999E-2</v>
      </c>
      <c r="N1339" s="21">
        <v>32163.57</v>
      </c>
      <c r="O1339" s="21">
        <v>21604.9</v>
      </c>
      <c r="P1339" s="26">
        <v>10558.67</v>
      </c>
    </row>
    <row r="1340" spans="1:16" x14ac:dyDescent="0.3">
      <c r="A1340" s="25">
        <v>1339</v>
      </c>
      <c r="B1340" s="16" t="s">
        <v>61</v>
      </c>
      <c r="C1340" s="16">
        <v>2025</v>
      </c>
      <c r="D1340" s="16" t="s">
        <v>26</v>
      </c>
      <c r="E1340" s="16" t="s">
        <v>34</v>
      </c>
      <c r="F1340" s="16" t="s">
        <v>33</v>
      </c>
      <c r="G1340" s="16">
        <v>17</v>
      </c>
      <c r="H1340" s="16">
        <v>2046</v>
      </c>
      <c r="I1340" s="16">
        <v>536.79999999999995</v>
      </c>
      <c r="J1340" s="19">
        <v>0.751</v>
      </c>
      <c r="K1340" s="16">
        <v>82.4</v>
      </c>
      <c r="L1340" s="19">
        <v>0.83199999999999996</v>
      </c>
      <c r="M1340" s="19">
        <v>3.9E-2</v>
      </c>
      <c r="N1340" s="21">
        <v>20959.2</v>
      </c>
      <c r="O1340" s="21">
        <v>13154.15</v>
      </c>
      <c r="P1340" s="26">
        <v>7805.05</v>
      </c>
    </row>
    <row r="1341" spans="1:16" x14ac:dyDescent="0.3">
      <c r="A1341" s="25">
        <v>1340</v>
      </c>
      <c r="B1341" s="16" t="s">
        <v>61</v>
      </c>
      <c r="C1341" s="16">
        <v>2025</v>
      </c>
      <c r="D1341" s="16" t="s">
        <v>26</v>
      </c>
      <c r="E1341" s="16" t="s">
        <v>31</v>
      </c>
      <c r="F1341" s="16" t="s">
        <v>33</v>
      </c>
      <c r="G1341" s="16">
        <v>51</v>
      </c>
      <c r="H1341" s="16">
        <v>6773</v>
      </c>
      <c r="I1341" s="16">
        <v>424</v>
      </c>
      <c r="J1341" s="19">
        <v>0.751</v>
      </c>
      <c r="K1341" s="16">
        <v>77.400000000000006</v>
      </c>
      <c r="L1341" s="19">
        <v>0.98199999999999998</v>
      </c>
      <c r="M1341" s="19">
        <v>0.03</v>
      </c>
      <c r="N1341" s="21">
        <v>62365.19</v>
      </c>
      <c r="O1341" s="21">
        <v>43275.65</v>
      </c>
      <c r="P1341" s="26">
        <v>19089.54</v>
      </c>
    </row>
    <row r="1342" spans="1:16" x14ac:dyDescent="0.3">
      <c r="A1342" s="25">
        <v>1341</v>
      </c>
      <c r="B1342" s="16" t="s">
        <v>61</v>
      </c>
      <c r="C1342" s="16">
        <v>2025</v>
      </c>
      <c r="D1342" s="16" t="s">
        <v>26</v>
      </c>
      <c r="E1342" s="16" t="s">
        <v>32</v>
      </c>
      <c r="F1342" s="16" t="s">
        <v>36</v>
      </c>
      <c r="G1342" s="16">
        <v>59</v>
      </c>
      <c r="H1342" s="16">
        <v>7243</v>
      </c>
      <c r="I1342" s="16">
        <v>789.5</v>
      </c>
      <c r="J1342" s="19">
        <v>0.626</v>
      </c>
      <c r="K1342" s="16">
        <v>85.3</v>
      </c>
      <c r="L1342" s="19">
        <v>1</v>
      </c>
      <c r="M1342" s="19">
        <v>3.5999999999999997E-2</v>
      </c>
      <c r="N1342" s="21">
        <v>69182.070000000007</v>
      </c>
      <c r="O1342" s="21">
        <v>49776.29</v>
      </c>
      <c r="P1342" s="26">
        <v>19405.78</v>
      </c>
    </row>
    <row r="1343" spans="1:16" x14ac:dyDescent="0.3">
      <c r="A1343" s="25">
        <v>1342</v>
      </c>
      <c r="B1343" s="16" t="s">
        <v>61</v>
      </c>
      <c r="C1343" s="16">
        <v>2025</v>
      </c>
      <c r="D1343" s="16" t="s">
        <v>26</v>
      </c>
      <c r="E1343" s="16" t="s">
        <v>27</v>
      </c>
      <c r="F1343" s="16" t="s">
        <v>36</v>
      </c>
      <c r="G1343" s="16">
        <v>64</v>
      </c>
      <c r="H1343" s="16">
        <v>9902</v>
      </c>
      <c r="I1343" s="16">
        <v>919.5</v>
      </c>
      <c r="J1343" s="19">
        <v>0.76400000000000001</v>
      </c>
      <c r="K1343" s="16">
        <v>79.5</v>
      </c>
      <c r="L1343" s="19">
        <v>0.93899999999999995</v>
      </c>
      <c r="M1343" s="19">
        <v>4.0000000000000001E-3</v>
      </c>
      <c r="N1343" s="21">
        <v>86647.07</v>
      </c>
      <c r="O1343" s="21">
        <v>57495.1</v>
      </c>
      <c r="P1343" s="26">
        <v>29151.97</v>
      </c>
    </row>
    <row r="1344" spans="1:16" x14ac:dyDescent="0.3">
      <c r="A1344" s="25">
        <v>1343</v>
      </c>
      <c r="B1344" s="16" t="s">
        <v>61</v>
      </c>
      <c r="C1344" s="16">
        <v>2025</v>
      </c>
      <c r="D1344" s="16" t="s">
        <v>26</v>
      </c>
      <c r="E1344" s="16" t="s">
        <v>34</v>
      </c>
      <c r="F1344" s="16" t="s">
        <v>36</v>
      </c>
      <c r="G1344" s="16">
        <v>28</v>
      </c>
      <c r="H1344" s="16">
        <v>3953</v>
      </c>
      <c r="I1344" s="16">
        <v>922.1</v>
      </c>
      <c r="J1344" s="19">
        <v>0.74399999999999999</v>
      </c>
      <c r="K1344" s="16">
        <v>84.7</v>
      </c>
      <c r="L1344" s="19">
        <v>0.96</v>
      </c>
      <c r="M1344" s="19">
        <v>2.5000000000000001E-2</v>
      </c>
      <c r="N1344" s="21">
        <v>35672.92</v>
      </c>
      <c r="O1344" s="21">
        <v>23999.759999999998</v>
      </c>
      <c r="P1344" s="26">
        <v>11673.16</v>
      </c>
    </row>
    <row r="1345" spans="1:16" x14ac:dyDescent="0.3">
      <c r="A1345" s="25">
        <v>1344</v>
      </c>
      <c r="B1345" s="16" t="s">
        <v>61</v>
      </c>
      <c r="C1345" s="16">
        <v>2025</v>
      </c>
      <c r="D1345" s="16" t="s">
        <v>26</v>
      </c>
      <c r="E1345" s="16" t="s">
        <v>27</v>
      </c>
      <c r="F1345" s="16" t="s">
        <v>37</v>
      </c>
      <c r="G1345" s="16">
        <v>50</v>
      </c>
      <c r="H1345" s="16">
        <v>6950</v>
      </c>
      <c r="I1345" s="16">
        <v>655.20000000000005</v>
      </c>
      <c r="J1345" s="19">
        <v>0.73899999999999999</v>
      </c>
      <c r="K1345" s="16">
        <v>82.9</v>
      </c>
      <c r="L1345" s="19">
        <v>0.90400000000000003</v>
      </c>
      <c r="M1345" s="19">
        <v>3.3000000000000002E-2</v>
      </c>
      <c r="N1345" s="21">
        <v>78805.440000000002</v>
      </c>
      <c r="O1345" s="21">
        <v>56750.84</v>
      </c>
      <c r="P1345" s="26">
        <v>22054.6</v>
      </c>
    </row>
    <row r="1346" spans="1:16" x14ac:dyDescent="0.3">
      <c r="A1346" s="25">
        <v>1345</v>
      </c>
      <c r="B1346" s="16" t="s">
        <v>61</v>
      </c>
      <c r="C1346" s="16">
        <v>2025</v>
      </c>
      <c r="D1346" s="16" t="s">
        <v>26</v>
      </c>
      <c r="E1346" s="16" t="s">
        <v>30</v>
      </c>
      <c r="F1346" s="16" t="s">
        <v>37</v>
      </c>
      <c r="G1346" s="16">
        <v>61</v>
      </c>
      <c r="H1346" s="16">
        <v>7671</v>
      </c>
      <c r="I1346" s="16">
        <v>658</v>
      </c>
      <c r="J1346" s="19">
        <v>0.71799999999999997</v>
      </c>
      <c r="K1346" s="16">
        <v>85.3</v>
      </c>
      <c r="L1346" s="19">
        <v>0.93500000000000005</v>
      </c>
      <c r="M1346" s="19">
        <v>3.6999999999999998E-2</v>
      </c>
      <c r="N1346" s="21">
        <v>95651.36</v>
      </c>
      <c r="O1346" s="21">
        <v>72796.78</v>
      </c>
      <c r="P1346" s="26">
        <v>22854.58</v>
      </c>
    </row>
    <row r="1347" spans="1:16" x14ac:dyDescent="0.3">
      <c r="A1347" s="25">
        <v>1346</v>
      </c>
      <c r="B1347" s="16" t="s">
        <v>61</v>
      </c>
      <c r="C1347" s="16">
        <v>2025</v>
      </c>
      <c r="D1347" s="16" t="s">
        <v>26</v>
      </c>
      <c r="E1347" s="16" t="s">
        <v>35</v>
      </c>
      <c r="F1347" s="16" t="s">
        <v>37</v>
      </c>
      <c r="G1347" s="16">
        <v>64</v>
      </c>
      <c r="H1347" s="16">
        <v>9187</v>
      </c>
      <c r="I1347" s="16">
        <v>679.2</v>
      </c>
      <c r="J1347" s="19">
        <v>0.70799999999999996</v>
      </c>
      <c r="K1347" s="16">
        <v>76.5</v>
      </c>
      <c r="L1347" s="19">
        <v>0.94499999999999995</v>
      </c>
      <c r="M1347" s="19">
        <v>3.2000000000000001E-2</v>
      </c>
      <c r="N1347" s="21">
        <v>81455.7</v>
      </c>
      <c r="O1347" s="21">
        <v>56048.45</v>
      </c>
      <c r="P1347" s="26">
        <v>25407.25</v>
      </c>
    </row>
    <row r="1348" spans="1:16" x14ac:dyDescent="0.3">
      <c r="A1348" s="25">
        <v>1347</v>
      </c>
      <c r="B1348" s="16" t="s">
        <v>61</v>
      </c>
      <c r="C1348" s="16">
        <v>2025</v>
      </c>
      <c r="D1348" s="16" t="s">
        <v>38</v>
      </c>
      <c r="E1348" s="16" t="s">
        <v>34</v>
      </c>
      <c r="F1348" s="16" t="s">
        <v>28</v>
      </c>
      <c r="G1348" s="16">
        <v>74</v>
      </c>
      <c r="H1348" s="16">
        <v>10707</v>
      </c>
      <c r="I1348" s="16">
        <v>444.3</v>
      </c>
      <c r="J1348" s="19">
        <v>0.71499999999999997</v>
      </c>
      <c r="K1348" s="16">
        <v>87.7</v>
      </c>
      <c r="L1348" s="19">
        <v>0.80500000000000005</v>
      </c>
      <c r="M1348" s="19">
        <v>3.5000000000000003E-2</v>
      </c>
      <c r="N1348" s="21">
        <v>118446.84</v>
      </c>
      <c r="O1348" s="21">
        <v>74508.08</v>
      </c>
      <c r="P1348" s="26">
        <v>43938.76</v>
      </c>
    </row>
    <row r="1349" spans="1:16" x14ac:dyDescent="0.3">
      <c r="A1349" s="25">
        <v>1348</v>
      </c>
      <c r="B1349" s="16" t="s">
        <v>61</v>
      </c>
      <c r="C1349" s="16">
        <v>2025</v>
      </c>
      <c r="D1349" s="16" t="s">
        <v>38</v>
      </c>
      <c r="E1349" s="16" t="s">
        <v>31</v>
      </c>
      <c r="F1349" s="16" t="s">
        <v>28</v>
      </c>
      <c r="G1349" s="16">
        <v>43</v>
      </c>
      <c r="H1349" s="16">
        <v>4374</v>
      </c>
      <c r="I1349" s="16">
        <v>443.7</v>
      </c>
      <c r="J1349" s="19">
        <v>0.79600000000000004</v>
      </c>
      <c r="K1349" s="16">
        <v>83</v>
      </c>
      <c r="L1349" s="19">
        <v>0.81699999999999995</v>
      </c>
      <c r="M1349" s="19">
        <v>4.4999999999999998E-2</v>
      </c>
      <c r="N1349" s="21">
        <v>57131.47</v>
      </c>
      <c r="O1349" s="21">
        <v>38825.879999999997</v>
      </c>
      <c r="P1349" s="26">
        <v>18305.59</v>
      </c>
    </row>
    <row r="1350" spans="1:16" x14ac:dyDescent="0.3">
      <c r="A1350" s="25">
        <v>1349</v>
      </c>
      <c r="B1350" s="16" t="s">
        <v>61</v>
      </c>
      <c r="C1350" s="16">
        <v>2025</v>
      </c>
      <c r="D1350" s="16" t="s">
        <v>38</v>
      </c>
      <c r="E1350" s="16" t="s">
        <v>32</v>
      </c>
      <c r="F1350" s="16" t="s">
        <v>29</v>
      </c>
      <c r="G1350" s="16">
        <v>32</v>
      </c>
      <c r="H1350" s="16">
        <v>4463</v>
      </c>
      <c r="I1350" s="16">
        <v>326.39999999999998</v>
      </c>
      <c r="J1350" s="19">
        <v>0.52600000000000002</v>
      </c>
      <c r="K1350" s="16">
        <v>78.3</v>
      </c>
      <c r="L1350" s="19">
        <v>0.83599999999999997</v>
      </c>
      <c r="M1350" s="19">
        <v>3.2000000000000001E-2</v>
      </c>
      <c r="N1350" s="21">
        <v>36019.9</v>
      </c>
      <c r="O1350" s="21">
        <v>22572.81</v>
      </c>
      <c r="P1350" s="26">
        <v>13447.09</v>
      </c>
    </row>
    <row r="1351" spans="1:16" x14ac:dyDescent="0.3">
      <c r="A1351" s="25">
        <v>1350</v>
      </c>
      <c r="B1351" s="16" t="s">
        <v>61</v>
      </c>
      <c r="C1351" s="16">
        <v>2025</v>
      </c>
      <c r="D1351" s="16" t="s">
        <v>38</v>
      </c>
      <c r="E1351" s="16" t="s">
        <v>30</v>
      </c>
      <c r="F1351" s="16" t="s">
        <v>29</v>
      </c>
      <c r="G1351" s="16">
        <v>43</v>
      </c>
      <c r="H1351" s="16">
        <v>5339</v>
      </c>
      <c r="I1351" s="16">
        <v>253.6</v>
      </c>
      <c r="J1351" s="19">
        <v>0.63300000000000001</v>
      </c>
      <c r="K1351" s="16">
        <v>76.7</v>
      </c>
      <c r="L1351" s="19">
        <v>0.90200000000000002</v>
      </c>
      <c r="M1351" s="19">
        <v>3.2000000000000001E-2</v>
      </c>
      <c r="N1351" s="21">
        <v>48480.5</v>
      </c>
      <c r="O1351" s="21">
        <v>31980.82</v>
      </c>
      <c r="P1351" s="26">
        <v>16499.68</v>
      </c>
    </row>
    <row r="1352" spans="1:16" x14ac:dyDescent="0.3">
      <c r="A1352" s="25">
        <v>1351</v>
      </c>
      <c r="B1352" s="16" t="s">
        <v>61</v>
      </c>
      <c r="C1352" s="16">
        <v>2025</v>
      </c>
      <c r="D1352" s="16" t="s">
        <v>38</v>
      </c>
      <c r="E1352" s="16" t="s">
        <v>35</v>
      </c>
      <c r="F1352" s="16" t="s">
        <v>29</v>
      </c>
      <c r="G1352" s="16">
        <v>63</v>
      </c>
      <c r="H1352" s="16">
        <v>9195</v>
      </c>
      <c r="I1352" s="16">
        <v>322.89999999999998</v>
      </c>
      <c r="J1352" s="19">
        <v>0.73299999999999998</v>
      </c>
      <c r="K1352" s="16">
        <v>75.400000000000006</v>
      </c>
      <c r="L1352" s="19">
        <v>1</v>
      </c>
      <c r="M1352" s="19">
        <v>2.7E-2</v>
      </c>
      <c r="N1352" s="21">
        <v>82911.740000000005</v>
      </c>
      <c r="O1352" s="21">
        <v>57973.120000000003</v>
      </c>
      <c r="P1352" s="26">
        <v>24938.62</v>
      </c>
    </row>
    <row r="1353" spans="1:16" x14ac:dyDescent="0.3">
      <c r="A1353" s="25">
        <v>1352</v>
      </c>
      <c r="B1353" s="16" t="s">
        <v>61</v>
      </c>
      <c r="C1353" s="16">
        <v>2025</v>
      </c>
      <c r="D1353" s="16" t="s">
        <v>38</v>
      </c>
      <c r="E1353" s="16" t="s">
        <v>31</v>
      </c>
      <c r="F1353" s="16" t="s">
        <v>33</v>
      </c>
      <c r="G1353" s="16">
        <v>54</v>
      </c>
      <c r="H1353" s="16">
        <v>7136</v>
      </c>
      <c r="I1353" s="16">
        <v>428.5</v>
      </c>
      <c r="J1353" s="19">
        <v>0.67600000000000005</v>
      </c>
      <c r="K1353" s="16">
        <v>81.3</v>
      </c>
      <c r="L1353" s="19">
        <v>0.89100000000000001</v>
      </c>
      <c r="M1353" s="19">
        <v>4.2999999999999997E-2</v>
      </c>
      <c r="N1353" s="21">
        <v>64603.23</v>
      </c>
      <c r="O1353" s="21">
        <v>47511.44</v>
      </c>
      <c r="P1353" s="26">
        <v>17091.79</v>
      </c>
    </row>
    <row r="1354" spans="1:16" x14ac:dyDescent="0.3">
      <c r="A1354" s="25">
        <v>1353</v>
      </c>
      <c r="B1354" s="16" t="s">
        <v>61</v>
      </c>
      <c r="C1354" s="16">
        <v>2025</v>
      </c>
      <c r="D1354" s="16" t="s">
        <v>38</v>
      </c>
      <c r="E1354" s="16" t="s">
        <v>32</v>
      </c>
      <c r="F1354" s="16" t="s">
        <v>36</v>
      </c>
      <c r="G1354" s="16">
        <v>70</v>
      </c>
      <c r="H1354" s="16">
        <v>10533</v>
      </c>
      <c r="I1354" s="16">
        <v>893.8</v>
      </c>
      <c r="J1354" s="19">
        <v>0.755</v>
      </c>
      <c r="K1354" s="16">
        <v>82.5</v>
      </c>
      <c r="L1354" s="19">
        <v>1</v>
      </c>
      <c r="M1354" s="19">
        <v>2.3E-2</v>
      </c>
      <c r="N1354" s="21">
        <v>90288.12</v>
      </c>
      <c r="O1354" s="21">
        <v>56168.2</v>
      </c>
      <c r="P1354" s="26">
        <v>34119.919999999998</v>
      </c>
    </row>
    <row r="1355" spans="1:16" x14ac:dyDescent="0.3">
      <c r="A1355" s="25">
        <v>1354</v>
      </c>
      <c r="B1355" s="16" t="s">
        <v>61</v>
      </c>
      <c r="C1355" s="16">
        <v>2025</v>
      </c>
      <c r="D1355" s="16" t="s">
        <v>38</v>
      </c>
      <c r="E1355" s="16" t="s">
        <v>30</v>
      </c>
      <c r="F1355" s="16" t="s">
        <v>36</v>
      </c>
      <c r="G1355" s="16">
        <v>69</v>
      </c>
      <c r="H1355" s="16">
        <v>10418</v>
      </c>
      <c r="I1355" s="16">
        <v>922.3</v>
      </c>
      <c r="J1355" s="19">
        <v>0.73699999999999999</v>
      </c>
      <c r="K1355" s="16">
        <v>81.900000000000006</v>
      </c>
      <c r="L1355" s="19">
        <v>0.90300000000000002</v>
      </c>
      <c r="M1355" s="19">
        <v>5.0999999999999997E-2</v>
      </c>
      <c r="N1355" s="21">
        <v>98317.18</v>
      </c>
      <c r="O1355" s="21">
        <v>64146.36</v>
      </c>
      <c r="P1355" s="26">
        <v>34170.82</v>
      </c>
    </row>
    <row r="1356" spans="1:16" x14ac:dyDescent="0.3">
      <c r="A1356" s="25">
        <v>1355</v>
      </c>
      <c r="B1356" s="16" t="s">
        <v>61</v>
      </c>
      <c r="C1356" s="16">
        <v>2025</v>
      </c>
      <c r="D1356" s="16" t="s">
        <v>38</v>
      </c>
      <c r="E1356" s="16" t="s">
        <v>31</v>
      </c>
      <c r="F1356" s="16" t="s">
        <v>36</v>
      </c>
      <c r="G1356" s="16">
        <v>45</v>
      </c>
      <c r="H1356" s="16">
        <v>6445</v>
      </c>
      <c r="I1356" s="16">
        <v>960.5</v>
      </c>
      <c r="J1356" s="19">
        <v>0.63</v>
      </c>
      <c r="K1356" s="16">
        <v>89</v>
      </c>
      <c r="L1356" s="19">
        <v>0.86</v>
      </c>
      <c r="M1356" s="19">
        <v>2.8000000000000001E-2</v>
      </c>
      <c r="N1356" s="21">
        <v>48351.89</v>
      </c>
      <c r="O1356" s="21">
        <v>30851.81</v>
      </c>
      <c r="P1356" s="26">
        <v>17500.080000000002</v>
      </c>
    </row>
    <row r="1357" spans="1:16" x14ac:dyDescent="0.3">
      <c r="A1357" s="25">
        <v>1356</v>
      </c>
      <c r="B1357" s="16" t="s">
        <v>61</v>
      </c>
      <c r="C1357" s="16">
        <v>2025</v>
      </c>
      <c r="D1357" s="16" t="s">
        <v>38</v>
      </c>
      <c r="E1357" s="16" t="s">
        <v>32</v>
      </c>
      <c r="F1357" s="16" t="s">
        <v>37</v>
      </c>
      <c r="G1357" s="16">
        <v>73</v>
      </c>
      <c r="H1357" s="16">
        <v>8535</v>
      </c>
      <c r="I1357" s="16">
        <v>630.9</v>
      </c>
      <c r="J1357" s="19">
        <v>0.63400000000000001</v>
      </c>
      <c r="K1357" s="16">
        <v>90.1</v>
      </c>
      <c r="L1357" s="19">
        <v>0.94499999999999995</v>
      </c>
      <c r="M1357" s="19">
        <v>5.1999999999999998E-2</v>
      </c>
      <c r="N1357" s="21">
        <v>99601.09</v>
      </c>
      <c r="O1357" s="21">
        <v>72440.87</v>
      </c>
      <c r="P1357" s="26">
        <v>27160.22</v>
      </c>
    </row>
    <row r="1358" spans="1:16" x14ac:dyDescent="0.3">
      <c r="A1358" s="25">
        <v>1357</v>
      </c>
      <c r="B1358" s="16" t="s">
        <v>61</v>
      </c>
      <c r="C1358" s="16">
        <v>2025</v>
      </c>
      <c r="D1358" s="16" t="s">
        <v>38</v>
      </c>
      <c r="E1358" s="16" t="s">
        <v>30</v>
      </c>
      <c r="F1358" s="16" t="s">
        <v>37</v>
      </c>
      <c r="G1358" s="16">
        <v>61</v>
      </c>
      <c r="H1358" s="16">
        <v>6418</v>
      </c>
      <c r="I1358" s="16">
        <v>675.8</v>
      </c>
      <c r="J1358" s="19">
        <v>0.78400000000000003</v>
      </c>
      <c r="K1358" s="16">
        <v>78.5</v>
      </c>
      <c r="L1358" s="19">
        <v>1</v>
      </c>
      <c r="M1358" s="19">
        <v>4.1000000000000002E-2</v>
      </c>
      <c r="N1358" s="21">
        <v>95482.36</v>
      </c>
      <c r="O1358" s="21">
        <v>64181.71</v>
      </c>
      <c r="P1358" s="26">
        <v>31300.65</v>
      </c>
    </row>
    <row r="1359" spans="1:16" x14ac:dyDescent="0.3">
      <c r="A1359" s="25">
        <v>1358</v>
      </c>
      <c r="B1359" s="16" t="s">
        <v>61</v>
      </c>
      <c r="C1359" s="16">
        <v>2025</v>
      </c>
      <c r="D1359" s="16" t="s">
        <v>38</v>
      </c>
      <c r="E1359" s="16" t="s">
        <v>34</v>
      </c>
      <c r="F1359" s="16" t="s">
        <v>37</v>
      </c>
      <c r="G1359" s="16">
        <v>34</v>
      </c>
      <c r="H1359" s="16">
        <v>5450</v>
      </c>
      <c r="I1359" s="16">
        <v>698.4</v>
      </c>
      <c r="J1359" s="19">
        <v>0.71</v>
      </c>
      <c r="K1359" s="16">
        <v>80.7</v>
      </c>
      <c r="L1359" s="19">
        <v>1</v>
      </c>
      <c r="M1359" s="19">
        <v>3.5000000000000003E-2</v>
      </c>
      <c r="N1359" s="21">
        <v>44688.36</v>
      </c>
      <c r="O1359" s="21">
        <v>33240.85</v>
      </c>
      <c r="P1359" s="26">
        <v>11447.51</v>
      </c>
    </row>
    <row r="1360" spans="1:16" x14ac:dyDescent="0.3">
      <c r="A1360" s="25">
        <v>1359</v>
      </c>
      <c r="B1360" s="16" t="s">
        <v>61</v>
      </c>
      <c r="C1360" s="16">
        <v>2025</v>
      </c>
      <c r="D1360" s="16" t="s">
        <v>38</v>
      </c>
      <c r="E1360" s="16" t="s">
        <v>31</v>
      </c>
      <c r="F1360" s="16" t="s">
        <v>37</v>
      </c>
      <c r="G1360" s="16">
        <v>38</v>
      </c>
      <c r="H1360" s="16">
        <v>4787</v>
      </c>
      <c r="I1360" s="16">
        <v>721.1</v>
      </c>
      <c r="J1360" s="19">
        <v>0.71399999999999997</v>
      </c>
      <c r="K1360" s="16">
        <v>78.599999999999994</v>
      </c>
      <c r="L1360" s="19">
        <v>0.84099999999999997</v>
      </c>
      <c r="M1360" s="19">
        <v>2.9000000000000001E-2</v>
      </c>
      <c r="N1360" s="21">
        <v>58271.18</v>
      </c>
      <c r="O1360" s="21">
        <v>37679.199999999997</v>
      </c>
      <c r="P1360" s="26">
        <v>20591.98</v>
      </c>
    </row>
    <row r="1361" spans="1:16" x14ac:dyDescent="0.3">
      <c r="A1361" s="25">
        <v>1360</v>
      </c>
      <c r="B1361" s="16" t="s">
        <v>61</v>
      </c>
      <c r="C1361" s="16">
        <v>2025</v>
      </c>
      <c r="D1361" s="16" t="s">
        <v>39</v>
      </c>
      <c r="E1361" s="16" t="s">
        <v>27</v>
      </c>
      <c r="F1361" s="16" t="s">
        <v>28</v>
      </c>
      <c r="G1361" s="16">
        <v>48</v>
      </c>
      <c r="H1361" s="16">
        <v>6519</v>
      </c>
      <c r="I1361" s="16">
        <v>408.6</v>
      </c>
      <c r="J1361" s="19">
        <v>0.747</v>
      </c>
      <c r="K1361" s="16">
        <v>77.400000000000006</v>
      </c>
      <c r="L1361" s="19">
        <v>0.83899999999999997</v>
      </c>
      <c r="M1361" s="19">
        <v>3.3000000000000002E-2</v>
      </c>
      <c r="N1361" s="21">
        <v>73447.62</v>
      </c>
      <c r="O1361" s="21">
        <v>48024.35</v>
      </c>
      <c r="P1361" s="26">
        <v>25423.27</v>
      </c>
    </row>
    <row r="1362" spans="1:16" x14ac:dyDescent="0.3">
      <c r="A1362" s="25">
        <v>1361</v>
      </c>
      <c r="B1362" s="16" t="s">
        <v>61</v>
      </c>
      <c r="C1362" s="16">
        <v>2025</v>
      </c>
      <c r="D1362" s="16" t="s">
        <v>39</v>
      </c>
      <c r="E1362" s="16" t="s">
        <v>31</v>
      </c>
      <c r="F1362" s="16" t="s">
        <v>28</v>
      </c>
      <c r="G1362" s="16">
        <v>70</v>
      </c>
      <c r="H1362" s="16">
        <v>9353</v>
      </c>
      <c r="I1362" s="16">
        <v>461.9</v>
      </c>
      <c r="J1362" s="19">
        <v>0.73399999999999999</v>
      </c>
      <c r="K1362" s="16">
        <v>77.099999999999994</v>
      </c>
      <c r="L1362" s="19">
        <v>0.87</v>
      </c>
      <c r="M1362" s="19">
        <v>1.2999999999999999E-2</v>
      </c>
      <c r="N1362" s="21">
        <v>100247.94</v>
      </c>
      <c r="O1362" s="21">
        <v>77221.929999999993</v>
      </c>
      <c r="P1362" s="26">
        <v>23026.01</v>
      </c>
    </row>
    <row r="1363" spans="1:16" x14ac:dyDescent="0.3">
      <c r="A1363" s="25">
        <v>1362</v>
      </c>
      <c r="B1363" s="16" t="s">
        <v>61</v>
      </c>
      <c r="C1363" s="16">
        <v>2025</v>
      </c>
      <c r="D1363" s="16" t="s">
        <v>39</v>
      </c>
      <c r="E1363" s="16" t="s">
        <v>32</v>
      </c>
      <c r="F1363" s="16" t="s">
        <v>29</v>
      </c>
      <c r="G1363" s="16">
        <v>52</v>
      </c>
      <c r="H1363" s="16">
        <v>8956</v>
      </c>
      <c r="I1363" s="16">
        <v>309.89999999999998</v>
      </c>
      <c r="J1363" s="19">
        <v>0.60799999999999998</v>
      </c>
      <c r="K1363" s="16">
        <v>76.599999999999994</v>
      </c>
      <c r="L1363" s="19">
        <v>0.97499999999999998</v>
      </c>
      <c r="M1363" s="19">
        <v>1.9E-2</v>
      </c>
      <c r="N1363" s="21">
        <v>72769.55</v>
      </c>
      <c r="O1363" s="21">
        <v>53093.19</v>
      </c>
      <c r="P1363" s="26">
        <v>19676.36</v>
      </c>
    </row>
    <row r="1364" spans="1:16" x14ac:dyDescent="0.3">
      <c r="A1364" s="25">
        <v>1363</v>
      </c>
      <c r="B1364" s="16" t="s">
        <v>61</v>
      </c>
      <c r="C1364" s="16">
        <v>2025</v>
      </c>
      <c r="D1364" s="16" t="s">
        <v>39</v>
      </c>
      <c r="E1364" s="16" t="s">
        <v>27</v>
      </c>
      <c r="F1364" s="16" t="s">
        <v>29</v>
      </c>
      <c r="G1364" s="16">
        <v>42</v>
      </c>
      <c r="H1364" s="16">
        <v>5037</v>
      </c>
      <c r="I1364" s="16">
        <v>297.89999999999998</v>
      </c>
      <c r="J1364" s="19">
        <v>0.59799999999999998</v>
      </c>
      <c r="K1364" s="16">
        <v>78.8</v>
      </c>
      <c r="L1364" s="19">
        <v>0.89</v>
      </c>
      <c r="M1364" s="19">
        <v>4.1000000000000002E-2</v>
      </c>
      <c r="N1364" s="21">
        <v>55014.63</v>
      </c>
      <c r="O1364" s="21">
        <v>42223.05</v>
      </c>
      <c r="P1364" s="26">
        <v>12791.58</v>
      </c>
    </row>
    <row r="1365" spans="1:16" x14ac:dyDescent="0.3">
      <c r="A1365" s="25">
        <v>1364</v>
      </c>
      <c r="B1365" s="16" t="s">
        <v>61</v>
      </c>
      <c r="C1365" s="16">
        <v>2025</v>
      </c>
      <c r="D1365" s="16" t="s">
        <v>39</v>
      </c>
      <c r="E1365" s="16" t="s">
        <v>35</v>
      </c>
      <c r="F1365" s="16" t="s">
        <v>29</v>
      </c>
      <c r="G1365" s="16">
        <v>41</v>
      </c>
      <c r="H1365" s="16">
        <v>5696</v>
      </c>
      <c r="I1365" s="16">
        <v>329.5</v>
      </c>
      <c r="J1365" s="19">
        <v>0.73</v>
      </c>
      <c r="K1365" s="16">
        <v>75.7</v>
      </c>
      <c r="L1365" s="19">
        <v>0.88700000000000001</v>
      </c>
      <c r="M1365" s="19">
        <v>2.5999999999999999E-2</v>
      </c>
      <c r="N1365" s="21">
        <v>68845.460000000006</v>
      </c>
      <c r="O1365" s="21">
        <v>49894.52</v>
      </c>
      <c r="P1365" s="26">
        <v>18950.939999999999</v>
      </c>
    </row>
    <row r="1366" spans="1:16" x14ac:dyDescent="0.3">
      <c r="A1366" s="25">
        <v>1365</v>
      </c>
      <c r="B1366" s="16" t="s">
        <v>61</v>
      </c>
      <c r="C1366" s="16">
        <v>2025</v>
      </c>
      <c r="D1366" s="16" t="s">
        <v>39</v>
      </c>
      <c r="E1366" s="16" t="s">
        <v>27</v>
      </c>
      <c r="F1366" s="16" t="s">
        <v>33</v>
      </c>
      <c r="G1366" s="16">
        <v>19</v>
      </c>
      <c r="H1366" s="16">
        <v>2526</v>
      </c>
      <c r="I1366" s="16">
        <v>518.4</v>
      </c>
      <c r="J1366" s="19">
        <v>0.71799999999999997</v>
      </c>
      <c r="K1366" s="16">
        <v>75.599999999999994</v>
      </c>
      <c r="L1366" s="19">
        <v>0.84899999999999998</v>
      </c>
      <c r="M1366" s="19">
        <v>2.8000000000000001E-2</v>
      </c>
      <c r="N1366" s="21">
        <v>29516.83</v>
      </c>
      <c r="O1366" s="21">
        <v>19420.5</v>
      </c>
      <c r="P1366" s="26">
        <v>10096.33</v>
      </c>
    </row>
    <row r="1367" spans="1:16" x14ac:dyDescent="0.3">
      <c r="A1367" s="25">
        <v>1366</v>
      </c>
      <c r="B1367" s="16" t="s">
        <v>61</v>
      </c>
      <c r="C1367" s="16">
        <v>2025</v>
      </c>
      <c r="D1367" s="16" t="s">
        <v>39</v>
      </c>
      <c r="E1367" s="16" t="s">
        <v>30</v>
      </c>
      <c r="F1367" s="16" t="s">
        <v>33</v>
      </c>
      <c r="G1367" s="16">
        <v>37</v>
      </c>
      <c r="H1367" s="16">
        <v>5507</v>
      </c>
      <c r="I1367" s="16">
        <v>445.6</v>
      </c>
      <c r="J1367" s="19">
        <v>0.67500000000000004</v>
      </c>
      <c r="K1367" s="16">
        <v>77.099999999999994</v>
      </c>
      <c r="L1367" s="19">
        <v>0.91900000000000004</v>
      </c>
      <c r="M1367" s="19">
        <v>3.4000000000000002E-2</v>
      </c>
      <c r="N1367" s="21">
        <v>46778.63</v>
      </c>
      <c r="O1367" s="21">
        <v>34833.97</v>
      </c>
      <c r="P1367" s="26">
        <v>11944.66</v>
      </c>
    </row>
    <row r="1368" spans="1:16" x14ac:dyDescent="0.3">
      <c r="A1368" s="25">
        <v>1367</v>
      </c>
      <c r="B1368" s="16" t="s">
        <v>61</v>
      </c>
      <c r="C1368" s="16">
        <v>2025</v>
      </c>
      <c r="D1368" s="16" t="s">
        <v>39</v>
      </c>
      <c r="E1368" s="16" t="s">
        <v>27</v>
      </c>
      <c r="F1368" s="16" t="s">
        <v>36</v>
      </c>
      <c r="G1368" s="16">
        <v>37</v>
      </c>
      <c r="H1368" s="16">
        <v>5442</v>
      </c>
      <c r="I1368" s="16">
        <v>933.6</v>
      </c>
      <c r="J1368" s="19">
        <v>0.56799999999999995</v>
      </c>
      <c r="K1368" s="16">
        <v>78.7</v>
      </c>
      <c r="L1368" s="19">
        <v>0.93500000000000005</v>
      </c>
      <c r="M1368" s="19">
        <v>5.2999999999999999E-2</v>
      </c>
      <c r="N1368" s="21">
        <v>50131.360000000001</v>
      </c>
      <c r="O1368" s="21">
        <v>35133.32</v>
      </c>
      <c r="P1368" s="26">
        <v>14998.04</v>
      </c>
    </row>
    <row r="1369" spans="1:16" x14ac:dyDescent="0.3">
      <c r="A1369" s="25">
        <v>1368</v>
      </c>
      <c r="B1369" s="16" t="s">
        <v>61</v>
      </c>
      <c r="C1369" s="16">
        <v>2025</v>
      </c>
      <c r="D1369" s="16" t="s">
        <v>39</v>
      </c>
      <c r="E1369" s="16" t="s">
        <v>30</v>
      </c>
      <c r="F1369" s="16" t="s">
        <v>36</v>
      </c>
      <c r="G1369" s="16">
        <v>62</v>
      </c>
      <c r="H1369" s="16">
        <v>9188</v>
      </c>
      <c r="I1369" s="16">
        <v>921.6</v>
      </c>
      <c r="J1369" s="19">
        <v>0.68100000000000005</v>
      </c>
      <c r="K1369" s="16">
        <v>82.9</v>
      </c>
      <c r="L1369" s="19">
        <v>0.90100000000000002</v>
      </c>
      <c r="M1369" s="19">
        <v>2.4E-2</v>
      </c>
      <c r="N1369" s="21">
        <v>73092.92</v>
      </c>
      <c r="O1369" s="21">
        <v>47139.05</v>
      </c>
      <c r="P1369" s="26">
        <v>25953.87</v>
      </c>
    </row>
    <row r="1370" spans="1:16" x14ac:dyDescent="0.3">
      <c r="A1370" s="25">
        <v>1369</v>
      </c>
      <c r="B1370" s="16" t="s">
        <v>61</v>
      </c>
      <c r="C1370" s="16">
        <v>2025</v>
      </c>
      <c r="D1370" s="16" t="s">
        <v>39</v>
      </c>
      <c r="E1370" s="16" t="s">
        <v>35</v>
      </c>
      <c r="F1370" s="16" t="s">
        <v>36</v>
      </c>
      <c r="G1370" s="16">
        <v>36</v>
      </c>
      <c r="H1370" s="16">
        <v>4723</v>
      </c>
      <c r="I1370" s="16">
        <v>862.3</v>
      </c>
      <c r="J1370" s="19">
        <v>0.67</v>
      </c>
      <c r="K1370" s="16">
        <v>81.2</v>
      </c>
      <c r="L1370" s="19">
        <v>0.95699999999999996</v>
      </c>
      <c r="M1370" s="19">
        <v>3.4000000000000002E-2</v>
      </c>
      <c r="N1370" s="21">
        <v>46762.99</v>
      </c>
      <c r="O1370" s="21">
        <v>33839.61</v>
      </c>
      <c r="P1370" s="26">
        <v>12923.38</v>
      </c>
    </row>
    <row r="1371" spans="1:16" x14ac:dyDescent="0.3">
      <c r="A1371" s="25">
        <v>1370</v>
      </c>
      <c r="B1371" s="16" t="s">
        <v>61</v>
      </c>
      <c r="C1371" s="16">
        <v>2025</v>
      </c>
      <c r="D1371" s="16" t="s">
        <v>39</v>
      </c>
      <c r="E1371" s="16" t="s">
        <v>32</v>
      </c>
      <c r="F1371" s="16" t="s">
        <v>37</v>
      </c>
      <c r="G1371" s="16">
        <v>57</v>
      </c>
      <c r="H1371" s="16">
        <v>7900</v>
      </c>
      <c r="I1371" s="16">
        <v>672.8</v>
      </c>
      <c r="J1371" s="19">
        <v>0.751</v>
      </c>
      <c r="K1371" s="16">
        <v>85.1</v>
      </c>
      <c r="L1371" s="19">
        <v>0.90200000000000002</v>
      </c>
      <c r="M1371" s="19">
        <v>4.2999999999999997E-2</v>
      </c>
      <c r="N1371" s="21">
        <v>92169.62</v>
      </c>
      <c r="O1371" s="21">
        <v>62724.800000000003</v>
      </c>
      <c r="P1371" s="26">
        <v>29444.82</v>
      </c>
    </row>
    <row r="1372" spans="1:16" x14ac:dyDescent="0.3">
      <c r="A1372" s="25">
        <v>1371</v>
      </c>
      <c r="B1372" s="16" t="s">
        <v>61</v>
      </c>
      <c r="C1372" s="16">
        <v>2025</v>
      </c>
      <c r="D1372" s="16" t="s">
        <v>39</v>
      </c>
      <c r="E1372" s="16" t="s">
        <v>27</v>
      </c>
      <c r="F1372" s="16" t="s">
        <v>37</v>
      </c>
      <c r="G1372" s="16">
        <v>44</v>
      </c>
      <c r="H1372" s="16">
        <v>5995</v>
      </c>
      <c r="I1372" s="16">
        <v>696</v>
      </c>
      <c r="J1372" s="19">
        <v>0.73499999999999999</v>
      </c>
      <c r="K1372" s="16">
        <v>77.8</v>
      </c>
      <c r="L1372" s="19">
        <v>0.91500000000000004</v>
      </c>
      <c r="M1372" s="19">
        <v>1.4999999999999999E-2</v>
      </c>
      <c r="N1372" s="21">
        <v>56962.34</v>
      </c>
      <c r="O1372" s="21">
        <v>38738.5</v>
      </c>
      <c r="P1372" s="26">
        <v>18223.84</v>
      </c>
    </row>
    <row r="1373" spans="1:16" x14ac:dyDescent="0.3">
      <c r="A1373" s="25">
        <v>1372</v>
      </c>
      <c r="B1373" s="16" t="s">
        <v>61</v>
      </c>
      <c r="C1373" s="16">
        <v>2025</v>
      </c>
      <c r="D1373" s="16" t="s">
        <v>39</v>
      </c>
      <c r="E1373" s="16" t="s">
        <v>34</v>
      </c>
      <c r="F1373" s="16" t="s">
        <v>37</v>
      </c>
      <c r="G1373" s="16">
        <v>53</v>
      </c>
      <c r="H1373" s="16">
        <v>7242</v>
      </c>
      <c r="I1373" s="16">
        <v>635.5</v>
      </c>
      <c r="J1373" s="19">
        <v>0.68700000000000006</v>
      </c>
      <c r="K1373" s="16">
        <v>76.8</v>
      </c>
      <c r="L1373" s="19">
        <v>0.88700000000000001</v>
      </c>
      <c r="M1373" s="19">
        <v>0.04</v>
      </c>
      <c r="N1373" s="21">
        <v>99229.09</v>
      </c>
      <c r="O1373" s="21">
        <v>76877.37</v>
      </c>
      <c r="P1373" s="26">
        <v>22351.72</v>
      </c>
    </row>
    <row r="1374" spans="1:16" x14ac:dyDescent="0.3">
      <c r="A1374" s="25">
        <v>1373</v>
      </c>
      <c r="B1374" s="16" t="s">
        <v>61</v>
      </c>
      <c r="C1374" s="16">
        <v>2025</v>
      </c>
      <c r="D1374" s="16" t="s">
        <v>39</v>
      </c>
      <c r="E1374" s="16" t="s">
        <v>31</v>
      </c>
      <c r="F1374" s="16" t="s">
        <v>37</v>
      </c>
      <c r="G1374" s="16">
        <v>48</v>
      </c>
      <c r="H1374" s="16">
        <v>6620</v>
      </c>
      <c r="I1374" s="16">
        <v>681.1</v>
      </c>
      <c r="J1374" s="19">
        <v>0.73</v>
      </c>
      <c r="K1374" s="16">
        <v>79.400000000000006</v>
      </c>
      <c r="L1374" s="19">
        <v>0.91100000000000003</v>
      </c>
      <c r="M1374" s="19">
        <v>3.5000000000000003E-2</v>
      </c>
      <c r="N1374" s="21">
        <v>63206.73</v>
      </c>
      <c r="O1374" s="21">
        <v>46131.62</v>
      </c>
      <c r="P1374" s="26">
        <v>17075.11</v>
      </c>
    </row>
    <row r="1375" spans="1:16" x14ac:dyDescent="0.3">
      <c r="A1375" s="25">
        <v>1374</v>
      </c>
      <c r="B1375" s="16" t="s">
        <v>61</v>
      </c>
      <c r="C1375" s="16">
        <v>2025</v>
      </c>
      <c r="D1375" s="16" t="s">
        <v>40</v>
      </c>
      <c r="E1375" s="16" t="s">
        <v>27</v>
      </c>
      <c r="F1375" s="16" t="s">
        <v>28</v>
      </c>
      <c r="G1375" s="16">
        <v>25</v>
      </c>
      <c r="H1375" s="16">
        <v>2786</v>
      </c>
      <c r="I1375" s="16">
        <v>451</v>
      </c>
      <c r="J1375" s="19">
        <v>0.83199999999999996</v>
      </c>
      <c r="K1375" s="16">
        <v>78.099999999999994</v>
      </c>
      <c r="L1375" s="19">
        <v>0.877</v>
      </c>
      <c r="M1375" s="19">
        <v>4.7E-2</v>
      </c>
      <c r="N1375" s="21">
        <v>46138.42</v>
      </c>
      <c r="O1375" s="21">
        <v>29741.66</v>
      </c>
      <c r="P1375" s="26">
        <v>16396.759999999998</v>
      </c>
    </row>
    <row r="1376" spans="1:16" x14ac:dyDescent="0.3">
      <c r="A1376" s="25">
        <v>1375</v>
      </c>
      <c r="B1376" s="16" t="s">
        <v>61</v>
      </c>
      <c r="C1376" s="16">
        <v>2025</v>
      </c>
      <c r="D1376" s="16" t="s">
        <v>40</v>
      </c>
      <c r="E1376" s="16" t="s">
        <v>30</v>
      </c>
      <c r="F1376" s="16" t="s">
        <v>28</v>
      </c>
      <c r="G1376" s="16">
        <v>62</v>
      </c>
      <c r="H1376" s="16">
        <v>7422</v>
      </c>
      <c r="I1376" s="16">
        <v>403.3</v>
      </c>
      <c r="J1376" s="19">
        <v>0.72799999999999998</v>
      </c>
      <c r="K1376" s="16">
        <v>76.3</v>
      </c>
      <c r="L1376" s="19">
        <v>0.82799999999999996</v>
      </c>
      <c r="M1376" s="19">
        <v>2.1999999999999999E-2</v>
      </c>
      <c r="N1376" s="21">
        <v>84833.44</v>
      </c>
      <c r="O1376" s="21">
        <v>60184.32</v>
      </c>
      <c r="P1376" s="26">
        <v>24649.119999999999</v>
      </c>
    </row>
    <row r="1377" spans="1:16" x14ac:dyDescent="0.3">
      <c r="A1377" s="25">
        <v>1376</v>
      </c>
      <c r="B1377" s="16" t="s">
        <v>61</v>
      </c>
      <c r="C1377" s="16">
        <v>2025</v>
      </c>
      <c r="D1377" s="16" t="s">
        <v>40</v>
      </c>
      <c r="E1377" s="16" t="s">
        <v>34</v>
      </c>
      <c r="F1377" s="16" t="s">
        <v>28</v>
      </c>
      <c r="G1377" s="16">
        <v>40</v>
      </c>
      <c r="H1377" s="16">
        <v>5005</v>
      </c>
      <c r="I1377" s="16">
        <v>404</v>
      </c>
      <c r="J1377" s="19">
        <v>0.90400000000000003</v>
      </c>
      <c r="K1377" s="16">
        <v>77.599999999999994</v>
      </c>
      <c r="L1377" s="19">
        <v>0.92800000000000005</v>
      </c>
      <c r="M1377" s="19">
        <v>2.5000000000000001E-2</v>
      </c>
      <c r="N1377" s="21">
        <v>76595.34</v>
      </c>
      <c r="O1377" s="21">
        <v>49148.25</v>
      </c>
      <c r="P1377" s="26">
        <v>27447.09</v>
      </c>
    </row>
    <row r="1378" spans="1:16" x14ac:dyDescent="0.3">
      <c r="A1378" s="25">
        <v>1377</v>
      </c>
      <c r="B1378" s="16" t="s">
        <v>61</v>
      </c>
      <c r="C1378" s="16">
        <v>2025</v>
      </c>
      <c r="D1378" s="16" t="s">
        <v>40</v>
      </c>
      <c r="E1378" s="16" t="s">
        <v>35</v>
      </c>
      <c r="F1378" s="16" t="s">
        <v>28</v>
      </c>
      <c r="G1378" s="16">
        <v>33</v>
      </c>
      <c r="H1378" s="16">
        <v>4580</v>
      </c>
      <c r="I1378" s="16">
        <v>366.6</v>
      </c>
      <c r="J1378" s="19">
        <v>0.74</v>
      </c>
      <c r="K1378" s="16">
        <v>89.1</v>
      </c>
      <c r="L1378" s="19">
        <v>0.78700000000000003</v>
      </c>
      <c r="M1378" s="19">
        <v>2.5999999999999999E-2</v>
      </c>
      <c r="N1378" s="21">
        <v>35354.160000000003</v>
      </c>
      <c r="O1378" s="21">
        <v>27040.85</v>
      </c>
      <c r="P1378" s="26">
        <v>8313.31</v>
      </c>
    </row>
    <row r="1379" spans="1:16" x14ac:dyDescent="0.3">
      <c r="A1379" s="25">
        <v>1378</v>
      </c>
      <c r="B1379" s="16" t="s">
        <v>61</v>
      </c>
      <c r="C1379" s="16">
        <v>2025</v>
      </c>
      <c r="D1379" s="16" t="s">
        <v>40</v>
      </c>
      <c r="E1379" s="16" t="s">
        <v>32</v>
      </c>
      <c r="F1379" s="16" t="s">
        <v>29</v>
      </c>
      <c r="G1379" s="16">
        <v>22</v>
      </c>
      <c r="H1379" s="16">
        <v>3160</v>
      </c>
      <c r="I1379" s="16">
        <v>353.2</v>
      </c>
      <c r="J1379" s="19">
        <v>0.76300000000000001</v>
      </c>
      <c r="K1379" s="16">
        <v>81.7</v>
      </c>
      <c r="L1379" s="19">
        <v>0.77200000000000002</v>
      </c>
      <c r="M1379" s="19">
        <v>0.03</v>
      </c>
      <c r="N1379" s="21">
        <v>41042.480000000003</v>
      </c>
      <c r="O1379" s="21">
        <v>26660.52</v>
      </c>
      <c r="P1379" s="26">
        <v>14381.96</v>
      </c>
    </row>
    <row r="1380" spans="1:16" x14ac:dyDescent="0.3">
      <c r="A1380" s="25">
        <v>1379</v>
      </c>
      <c r="B1380" s="16" t="s">
        <v>61</v>
      </c>
      <c r="C1380" s="16">
        <v>2025</v>
      </c>
      <c r="D1380" s="16" t="s">
        <v>40</v>
      </c>
      <c r="E1380" s="16" t="s">
        <v>30</v>
      </c>
      <c r="F1380" s="16" t="s">
        <v>29</v>
      </c>
      <c r="G1380" s="16">
        <v>66</v>
      </c>
      <c r="H1380" s="16">
        <v>8838</v>
      </c>
      <c r="I1380" s="16">
        <v>301.10000000000002</v>
      </c>
      <c r="J1380" s="19">
        <v>0.57899999999999996</v>
      </c>
      <c r="K1380" s="16">
        <v>81.3</v>
      </c>
      <c r="L1380" s="19">
        <v>0.92300000000000004</v>
      </c>
      <c r="M1380" s="19">
        <v>4.7E-2</v>
      </c>
      <c r="N1380" s="21">
        <v>70586.47</v>
      </c>
      <c r="O1380" s="21">
        <v>47972.55</v>
      </c>
      <c r="P1380" s="26">
        <v>22613.919999999998</v>
      </c>
    </row>
    <row r="1381" spans="1:16" x14ac:dyDescent="0.3">
      <c r="A1381" s="25">
        <v>1380</v>
      </c>
      <c r="B1381" s="16" t="s">
        <v>61</v>
      </c>
      <c r="C1381" s="16">
        <v>2025</v>
      </c>
      <c r="D1381" s="16" t="s">
        <v>40</v>
      </c>
      <c r="E1381" s="16" t="s">
        <v>34</v>
      </c>
      <c r="F1381" s="16" t="s">
        <v>29</v>
      </c>
      <c r="G1381" s="16">
        <v>77</v>
      </c>
      <c r="H1381" s="16">
        <v>8803</v>
      </c>
      <c r="I1381" s="16">
        <v>310.89999999999998</v>
      </c>
      <c r="J1381" s="19">
        <v>0.74199999999999999</v>
      </c>
      <c r="K1381" s="16">
        <v>75.7</v>
      </c>
      <c r="L1381" s="19">
        <v>0.96899999999999997</v>
      </c>
      <c r="M1381" s="19">
        <v>2.5999999999999999E-2</v>
      </c>
      <c r="N1381" s="21">
        <v>75748.22</v>
      </c>
      <c r="O1381" s="21">
        <v>52562.97</v>
      </c>
      <c r="P1381" s="26">
        <v>23185.25</v>
      </c>
    </row>
    <row r="1382" spans="1:16" x14ac:dyDescent="0.3">
      <c r="A1382" s="25">
        <v>1381</v>
      </c>
      <c r="B1382" s="16" t="s">
        <v>61</v>
      </c>
      <c r="C1382" s="16">
        <v>2025</v>
      </c>
      <c r="D1382" s="16" t="s">
        <v>40</v>
      </c>
      <c r="E1382" s="16" t="s">
        <v>31</v>
      </c>
      <c r="F1382" s="16" t="s">
        <v>29</v>
      </c>
      <c r="G1382" s="16">
        <v>73</v>
      </c>
      <c r="H1382" s="16">
        <v>8901</v>
      </c>
      <c r="I1382" s="16">
        <v>244.5</v>
      </c>
      <c r="J1382" s="19">
        <v>0.61699999999999999</v>
      </c>
      <c r="K1382" s="16">
        <v>77.2</v>
      </c>
      <c r="L1382" s="19">
        <v>0.872</v>
      </c>
      <c r="M1382" s="19">
        <v>2.3E-2</v>
      </c>
      <c r="N1382" s="21">
        <v>66337.34</v>
      </c>
      <c r="O1382" s="21">
        <v>51270.6</v>
      </c>
      <c r="P1382" s="26">
        <v>15066.74</v>
      </c>
    </row>
    <row r="1383" spans="1:16" x14ac:dyDescent="0.3">
      <c r="A1383" s="25">
        <v>1382</v>
      </c>
      <c r="B1383" s="16" t="s">
        <v>61</v>
      </c>
      <c r="C1383" s="16">
        <v>2025</v>
      </c>
      <c r="D1383" s="16" t="s">
        <v>40</v>
      </c>
      <c r="E1383" s="16" t="s">
        <v>32</v>
      </c>
      <c r="F1383" s="16" t="s">
        <v>33</v>
      </c>
      <c r="G1383" s="16">
        <v>38</v>
      </c>
      <c r="H1383" s="16">
        <v>4791</v>
      </c>
      <c r="I1383" s="16">
        <v>561.79999999999995</v>
      </c>
      <c r="J1383" s="19">
        <v>0.754</v>
      </c>
      <c r="K1383" s="16">
        <v>75.099999999999994</v>
      </c>
      <c r="L1383" s="19">
        <v>0.90600000000000003</v>
      </c>
      <c r="M1383" s="19">
        <v>0.02</v>
      </c>
      <c r="N1383" s="21">
        <v>68346.78</v>
      </c>
      <c r="O1383" s="21">
        <v>44128.61</v>
      </c>
      <c r="P1383" s="26">
        <v>24218.17</v>
      </c>
    </row>
    <row r="1384" spans="1:16" x14ac:dyDescent="0.3">
      <c r="A1384" s="25">
        <v>1383</v>
      </c>
      <c r="B1384" s="16" t="s">
        <v>61</v>
      </c>
      <c r="C1384" s="16">
        <v>2025</v>
      </c>
      <c r="D1384" s="16" t="s">
        <v>40</v>
      </c>
      <c r="E1384" s="16" t="s">
        <v>27</v>
      </c>
      <c r="F1384" s="16" t="s">
        <v>33</v>
      </c>
      <c r="G1384" s="16">
        <v>66</v>
      </c>
      <c r="H1384" s="16">
        <v>7941</v>
      </c>
      <c r="I1384" s="16">
        <v>576.70000000000005</v>
      </c>
      <c r="J1384" s="19">
        <v>0.73799999999999999</v>
      </c>
      <c r="K1384" s="16">
        <v>91.2</v>
      </c>
      <c r="L1384" s="19">
        <v>0.75600000000000001</v>
      </c>
      <c r="M1384" s="19">
        <v>1.2999999999999999E-2</v>
      </c>
      <c r="N1384" s="21">
        <v>75507.47</v>
      </c>
      <c r="O1384" s="21">
        <v>57149.7</v>
      </c>
      <c r="P1384" s="26">
        <v>18357.77</v>
      </c>
    </row>
    <row r="1385" spans="1:16" x14ac:dyDescent="0.3">
      <c r="A1385" s="25">
        <v>1384</v>
      </c>
      <c r="B1385" s="16" t="s">
        <v>61</v>
      </c>
      <c r="C1385" s="16">
        <v>2025</v>
      </c>
      <c r="D1385" s="16" t="s">
        <v>40</v>
      </c>
      <c r="E1385" s="16" t="s">
        <v>34</v>
      </c>
      <c r="F1385" s="16" t="s">
        <v>33</v>
      </c>
      <c r="G1385" s="16">
        <v>49</v>
      </c>
      <c r="H1385" s="16">
        <v>7650</v>
      </c>
      <c r="I1385" s="16">
        <v>389.6</v>
      </c>
      <c r="J1385" s="19">
        <v>0.73</v>
      </c>
      <c r="K1385" s="16">
        <v>93.5</v>
      </c>
      <c r="L1385" s="19">
        <v>0.85</v>
      </c>
      <c r="M1385" s="19">
        <v>3.3000000000000002E-2</v>
      </c>
      <c r="N1385" s="21">
        <v>71820.100000000006</v>
      </c>
      <c r="O1385" s="21">
        <v>48823.11</v>
      </c>
      <c r="P1385" s="26">
        <v>22996.99</v>
      </c>
    </row>
    <row r="1386" spans="1:16" x14ac:dyDescent="0.3">
      <c r="A1386" s="25">
        <v>1385</v>
      </c>
      <c r="B1386" s="16" t="s">
        <v>61</v>
      </c>
      <c r="C1386" s="16">
        <v>2025</v>
      </c>
      <c r="D1386" s="16" t="s">
        <v>40</v>
      </c>
      <c r="E1386" s="16" t="s">
        <v>35</v>
      </c>
      <c r="F1386" s="16" t="s">
        <v>33</v>
      </c>
      <c r="G1386" s="16">
        <v>63</v>
      </c>
      <c r="H1386" s="16">
        <v>9427</v>
      </c>
      <c r="I1386" s="16">
        <v>484</v>
      </c>
      <c r="J1386" s="19">
        <v>0.871</v>
      </c>
      <c r="K1386" s="16">
        <v>82.8</v>
      </c>
      <c r="L1386" s="19">
        <v>0.92500000000000004</v>
      </c>
      <c r="M1386" s="19">
        <v>1.6E-2</v>
      </c>
      <c r="N1386" s="21">
        <v>91337.97</v>
      </c>
      <c r="O1386" s="21">
        <v>58971.14</v>
      </c>
      <c r="P1386" s="26">
        <v>32366.83</v>
      </c>
    </row>
    <row r="1387" spans="1:16" x14ac:dyDescent="0.3">
      <c r="A1387" s="25">
        <v>1386</v>
      </c>
      <c r="B1387" s="16" t="s">
        <v>61</v>
      </c>
      <c r="C1387" s="16">
        <v>2025</v>
      </c>
      <c r="D1387" s="16" t="s">
        <v>40</v>
      </c>
      <c r="E1387" s="16" t="s">
        <v>32</v>
      </c>
      <c r="F1387" s="16" t="s">
        <v>36</v>
      </c>
      <c r="G1387" s="16">
        <v>42</v>
      </c>
      <c r="H1387" s="16">
        <v>7062</v>
      </c>
      <c r="I1387" s="16">
        <v>883.8</v>
      </c>
      <c r="J1387" s="19">
        <v>0.65200000000000002</v>
      </c>
      <c r="K1387" s="16">
        <v>89.9</v>
      </c>
      <c r="L1387" s="19">
        <v>0.85799999999999998</v>
      </c>
      <c r="M1387" s="19">
        <v>1.4E-2</v>
      </c>
      <c r="N1387" s="21">
        <v>58830.33</v>
      </c>
      <c r="O1387" s="21">
        <v>43244.19</v>
      </c>
      <c r="P1387" s="26">
        <v>15586.14</v>
      </c>
    </row>
    <row r="1388" spans="1:16" x14ac:dyDescent="0.3">
      <c r="A1388" s="25">
        <v>1387</v>
      </c>
      <c r="B1388" s="16" t="s">
        <v>61</v>
      </c>
      <c r="C1388" s="16">
        <v>2025</v>
      </c>
      <c r="D1388" s="16" t="s">
        <v>40</v>
      </c>
      <c r="E1388" s="16" t="s">
        <v>27</v>
      </c>
      <c r="F1388" s="16" t="s">
        <v>36</v>
      </c>
      <c r="G1388" s="16">
        <v>37</v>
      </c>
      <c r="H1388" s="16">
        <v>5406</v>
      </c>
      <c r="I1388" s="16">
        <v>881.4</v>
      </c>
      <c r="J1388" s="19">
        <v>0.66400000000000003</v>
      </c>
      <c r="K1388" s="16">
        <v>90</v>
      </c>
      <c r="L1388" s="19">
        <v>0.91700000000000004</v>
      </c>
      <c r="M1388" s="19">
        <v>0.02</v>
      </c>
      <c r="N1388" s="21">
        <v>49665.82</v>
      </c>
      <c r="O1388" s="21">
        <v>31258.71</v>
      </c>
      <c r="P1388" s="26">
        <v>18407.11</v>
      </c>
    </row>
    <row r="1389" spans="1:16" x14ac:dyDescent="0.3">
      <c r="A1389" s="25">
        <v>1388</v>
      </c>
      <c r="B1389" s="16" t="s">
        <v>61</v>
      </c>
      <c r="C1389" s="16">
        <v>2025</v>
      </c>
      <c r="D1389" s="16" t="s">
        <v>40</v>
      </c>
      <c r="E1389" s="16" t="s">
        <v>34</v>
      </c>
      <c r="F1389" s="16" t="s">
        <v>36</v>
      </c>
      <c r="G1389" s="16">
        <v>34</v>
      </c>
      <c r="H1389" s="16">
        <v>3911</v>
      </c>
      <c r="I1389" s="16">
        <v>862.5</v>
      </c>
      <c r="J1389" s="19">
        <v>0.70699999999999996</v>
      </c>
      <c r="K1389" s="16">
        <v>77.099999999999994</v>
      </c>
      <c r="L1389" s="19">
        <v>0.96399999999999997</v>
      </c>
      <c r="M1389" s="19">
        <v>3.5999999999999997E-2</v>
      </c>
      <c r="N1389" s="21">
        <v>49384.07</v>
      </c>
      <c r="O1389" s="21">
        <v>31970.15</v>
      </c>
      <c r="P1389" s="26">
        <v>17413.919999999998</v>
      </c>
    </row>
    <row r="1390" spans="1:16" x14ac:dyDescent="0.3">
      <c r="A1390" s="25">
        <v>1389</v>
      </c>
      <c r="B1390" s="16" t="s">
        <v>61</v>
      </c>
      <c r="C1390" s="16">
        <v>2025</v>
      </c>
      <c r="D1390" s="16" t="s">
        <v>40</v>
      </c>
      <c r="E1390" s="16" t="s">
        <v>31</v>
      </c>
      <c r="F1390" s="16" t="s">
        <v>36</v>
      </c>
      <c r="G1390" s="16">
        <v>62</v>
      </c>
      <c r="H1390" s="16">
        <v>8493</v>
      </c>
      <c r="I1390" s="16">
        <v>918.6</v>
      </c>
      <c r="J1390" s="19">
        <v>0.622</v>
      </c>
      <c r="K1390" s="16">
        <v>91</v>
      </c>
      <c r="L1390" s="19">
        <v>0.89200000000000002</v>
      </c>
      <c r="M1390" s="19">
        <v>0.02</v>
      </c>
      <c r="N1390" s="21">
        <v>104415.63</v>
      </c>
      <c r="O1390" s="21">
        <v>79990.48</v>
      </c>
      <c r="P1390" s="26">
        <v>24425.15</v>
      </c>
    </row>
    <row r="1391" spans="1:16" x14ac:dyDescent="0.3">
      <c r="A1391" s="25">
        <v>1390</v>
      </c>
      <c r="B1391" s="16" t="s">
        <v>61</v>
      </c>
      <c r="C1391" s="16">
        <v>2025</v>
      </c>
      <c r="D1391" s="16" t="s">
        <v>40</v>
      </c>
      <c r="E1391" s="16" t="s">
        <v>27</v>
      </c>
      <c r="F1391" s="16" t="s">
        <v>37</v>
      </c>
      <c r="G1391" s="16">
        <v>33</v>
      </c>
      <c r="H1391" s="16">
        <v>5630</v>
      </c>
      <c r="I1391" s="16">
        <v>683.2</v>
      </c>
      <c r="J1391" s="19">
        <v>0.67900000000000005</v>
      </c>
      <c r="K1391" s="16">
        <v>78.3</v>
      </c>
      <c r="L1391" s="19">
        <v>0.92500000000000004</v>
      </c>
      <c r="M1391" s="19">
        <v>2.8000000000000001E-2</v>
      </c>
      <c r="N1391" s="21">
        <v>45427.360000000001</v>
      </c>
      <c r="O1391" s="21">
        <v>30373.54</v>
      </c>
      <c r="P1391" s="26">
        <v>15053.82</v>
      </c>
    </row>
    <row r="1392" spans="1:16" x14ac:dyDescent="0.3">
      <c r="A1392" s="25">
        <v>1391</v>
      </c>
      <c r="B1392" s="16" t="s">
        <v>61</v>
      </c>
      <c r="C1392" s="16">
        <v>2025</v>
      </c>
      <c r="D1392" s="16" t="s">
        <v>40</v>
      </c>
      <c r="E1392" s="16" t="s">
        <v>30</v>
      </c>
      <c r="F1392" s="16" t="s">
        <v>37</v>
      </c>
      <c r="G1392" s="16">
        <v>32</v>
      </c>
      <c r="H1392" s="16">
        <v>4919</v>
      </c>
      <c r="I1392" s="16">
        <v>744.5</v>
      </c>
      <c r="J1392" s="19">
        <v>0.73099999999999998</v>
      </c>
      <c r="K1392" s="16">
        <v>87.5</v>
      </c>
      <c r="L1392" s="19">
        <v>0.91600000000000004</v>
      </c>
      <c r="M1392" s="19">
        <v>2.4E-2</v>
      </c>
      <c r="N1392" s="21">
        <v>46531.45</v>
      </c>
      <c r="O1392" s="21">
        <v>34831.01</v>
      </c>
      <c r="P1392" s="26">
        <v>11700.44</v>
      </c>
    </row>
    <row r="1393" spans="1:16" x14ac:dyDescent="0.3">
      <c r="A1393" s="25">
        <v>1392</v>
      </c>
      <c r="B1393" s="16" t="s">
        <v>61</v>
      </c>
      <c r="C1393" s="16">
        <v>2025</v>
      </c>
      <c r="D1393" s="16" t="s">
        <v>40</v>
      </c>
      <c r="E1393" s="16" t="s">
        <v>35</v>
      </c>
      <c r="F1393" s="16" t="s">
        <v>37</v>
      </c>
      <c r="G1393" s="16">
        <v>22</v>
      </c>
      <c r="H1393" s="16">
        <v>2968</v>
      </c>
      <c r="I1393" s="16">
        <v>613.79999999999995</v>
      </c>
      <c r="J1393" s="19">
        <v>0.68100000000000005</v>
      </c>
      <c r="K1393" s="16">
        <v>75.599999999999994</v>
      </c>
      <c r="L1393" s="19">
        <v>0.94099999999999995</v>
      </c>
      <c r="M1393" s="19">
        <v>3.7999999999999999E-2</v>
      </c>
      <c r="N1393" s="21">
        <v>32101.54</v>
      </c>
      <c r="O1393" s="21">
        <v>23106.54</v>
      </c>
      <c r="P1393" s="26">
        <v>8995</v>
      </c>
    </row>
    <row r="1394" spans="1:16" x14ac:dyDescent="0.3">
      <c r="A1394" s="25">
        <v>1393</v>
      </c>
      <c r="B1394" s="16" t="s">
        <v>61</v>
      </c>
      <c r="C1394" s="16">
        <v>2025</v>
      </c>
      <c r="D1394" s="16" t="s">
        <v>41</v>
      </c>
      <c r="E1394" s="16" t="s">
        <v>32</v>
      </c>
      <c r="F1394" s="16" t="s">
        <v>28</v>
      </c>
      <c r="G1394" s="16">
        <v>58</v>
      </c>
      <c r="H1394" s="16">
        <v>9302</v>
      </c>
      <c r="I1394" s="16">
        <v>414.6</v>
      </c>
      <c r="J1394" s="19">
        <v>0.81599999999999995</v>
      </c>
      <c r="K1394" s="16">
        <v>80.7</v>
      </c>
      <c r="L1394" s="19">
        <v>1</v>
      </c>
      <c r="M1394" s="19">
        <v>2.1000000000000001E-2</v>
      </c>
      <c r="N1394" s="21">
        <v>126614.18</v>
      </c>
      <c r="O1394" s="21">
        <v>98712.5</v>
      </c>
      <c r="P1394" s="26">
        <v>27901.68</v>
      </c>
    </row>
    <row r="1395" spans="1:16" x14ac:dyDescent="0.3">
      <c r="A1395" s="25">
        <v>1394</v>
      </c>
      <c r="B1395" s="16" t="s">
        <v>61</v>
      </c>
      <c r="C1395" s="16">
        <v>2025</v>
      </c>
      <c r="D1395" s="16" t="s">
        <v>41</v>
      </c>
      <c r="E1395" s="16" t="s">
        <v>27</v>
      </c>
      <c r="F1395" s="16" t="s">
        <v>28</v>
      </c>
      <c r="G1395" s="16">
        <v>48</v>
      </c>
      <c r="H1395" s="16">
        <v>6743</v>
      </c>
      <c r="I1395" s="16">
        <v>419.2</v>
      </c>
      <c r="J1395" s="19">
        <v>0.79400000000000004</v>
      </c>
      <c r="K1395" s="16">
        <v>84</v>
      </c>
      <c r="L1395" s="19">
        <v>0.93200000000000005</v>
      </c>
      <c r="M1395" s="19">
        <v>2.5000000000000001E-2</v>
      </c>
      <c r="N1395" s="21">
        <v>92496.49</v>
      </c>
      <c r="O1395" s="21">
        <v>71363.360000000001</v>
      </c>
      <c r="P1395" s="26">
        <v>21133.13</v>
      </c>
    </row>
    <row r="1396" spans="1:16" x14ac:dyDescent="0.3">
      <c r="A1396" s="25">
        <v>1395</v>
      </c>
      <c r="B1396" s="16" t="s">
        <v>61</v>
      </c>
      <c r="C1396" s="16">
        <v>2025</v>
      </c>
      <c r="D1396" s="16" t="s">
        <v>41</v>
      </c>
      <c r="E1396" s="16" t="s">
        <v>30</v>
      </c>
      <c r="F1396" s="16" t="s">
        <v>28</v>
      </c>
      <c r="G1396" s="16">
        <v>40</v>
      </c>
      <c r="H1396" s="16">
        <v>5769</v>
      </c>
      <c r="I1396" s="16">
        <v>451.2</v>
      </c>
      <c r="J1396" s="19">
        <v>0.86799999999999999</v>
      </c>
      <c r="K1396" s="16">
        <v>87.6</v>
      </c>
      <c r="L1396" s="19">
        <v>0.89400000000000002</v>
      </c>
      <c r="M1396" s="19">
        <v>1.4E-2</v>
      </c>
      <c r="N1396" s="21">
        <v>69404.95</v>
      </c>
      <c r="O1396" s="21">
        <v>46995.28</v>
      </c>
      <c r="P1396" s="26">
        <v>22409.67</v>
      </c>
    </row>
    <row r="1397" spans="1:16" x14ac:dyDescent="0.3">
      <c r="A1397" s="25">
        <v>1396</v>
      </c>
      <c r="B1397" s="16" t="s">
        <v>61</v>
      </c>
      <c r="C1397" s="16">
        <v>2025</v>
      </c>
      <c r="D1397" s="16" t="s">
        <v>41</v>
      </c>
      <c r="E1397" s="16" t="s">
        <v>34</v>
      </c>
      <c r="F1397" s="16" t="s">
        <v>28</v>
      </c>
      <c r="G1397" s="16">
        <v>66</v>
      </c>
      <c r="H1397" s="16">
        <v>10261</v>
      </c>
      <c r="I1397" s="16">
        <v>302.8</v>
      </c>
      <c r="J1397" s="19">
        <v>0.85699999999999998</v>
      </c>
      <c r="K1397" s="16">
        <v>91.1</v>
      </c>
      <c r="L1397" s="19">
        <v>0.82799999999999996</v>
      </c>
      <c r="M1397" s="19">
        <v>1.7000000000000001E-2</v>
      </c>
      <c r="N1397" s="21">
        <v>118993.9</v>
      </c>
      <c r="O1397" s="21">
        <v>87928.22</v>
      </c>
      <c r="P1397" s="26">
        <v>31065.68</v>
      </c>
    </row>
    <row r="1398" spans="1:16" x14ac:dyDescent="0.3">
      <c r="A1398" s="25">
        <v>1397</v>
      </c>
      <c r="B1398" s="16" t="s">
        <v>61</v>
      </c>
      <c r="C1398" s="16">
        <v>2025</v>
      </c>
      <c r="D1398" s="16" t="s">
        <v>41</v>
      </c>
      <c r="E1398" s="16" t="s">
        <v>35</v>
      </c>
      <c r="F1398" s="16" t="s">
        <v>28</v>
      </c>
      <c r="G1398" s="16">
        <v>69</v>
      </c>
      <c r="H1398" s="16">
        <v>8172</v>
      </c>
      <c r="I1398" s="16">
        <v>415.1</v>
      </c>
      <c r="J1398" s="19">
        <v>0.751</v>
      </c>
      <c r="K1398" s="16">
        <v>91.3</v>
      </c>
      <c r="L1398" s="19">
        <v>0.89700000000000002</v>
      </c>
      <c r="M1398" s="19">
        <v>1.4999999999999999E-2</v>
      </c>
      <c r="N1398" s="21">
        <v>136401.03</v>
      </c>
      <c r="O1398" s="21">
        <v>102570</v>
      </c>
      <c r="P1398" s="26">
        <v>33831.03</v>
      </c>
    </row>
    <row r="1399" spans="1:16" x14ac:dyDescent="0.3">
      <c r="A1399" s="25">
        <v>1398</v>
      </c>
      <c r="B1399" s="16" t="s">
        <v>61</v>
      </c>
      <c r="C1399" s="16">
        <v>2025</v>
      </c>
      <c r="D1399" s="16" t="s">
        <v>41</v>
      </c>
      <c r="E1399" s="16" t="s">
        <v>32</v>
      </c>
      <c r="F1399" s="16" t="s">
        <v>29</v>
      </c>
      <c r="G1399" s="16">
        <v>52</v>
      </c>
      <c r="H1399" s="16">
        <v>6702</v>
      </c>
      <c r="I1399" s="16">
        <v>286</v>
      </c>
      <c r="J1399" s="19">
        <v>0.65200000000000002</v>
      </c>
      <c r="K1399" s="16">
        <v>84.2</v>
      </c>
      <c r="L1399" s="19">
        <v>0.90100000000000002</v>
      </c>
      <c r="M1399" s="19">
        <v>1.9E-2</v>
      </c>
      <c r="N1399" s="21">
        <v>69067.240000000005</v>
      </c>
      <c r="O1399" s="21">
        <v>52187.56</v>
      </c>
      <c r="P1399" s="26">
        <v>16879.68</v>
      </c>
    </row>
    <row r="1400" spans="1:16" x14ac:dyDescent="0.3">
      <c r="A1400" s="25">
        <v>1399</v>
      </c>
      <c r="B1400" s="16" t="s">
        <v>61</v>
      </c>
      <c r="C1400" s="16">
        <v>2025</v>
      </c>
      <c r="D1400" s="16" t="s">
        <v>41</v>
      </c>
      <c r="E1400" s="16" t="s">
        <v>27</v>
      </c>
      <c r="F1400" s="16" t="s">
        <v>29</v>
      </c>
      <c r="G1400" s="16">
        <v>60</v>
      </c>
      <c r="H1400" s="16">
        <v>8344</v>
      </c>
      <c r="I1400" s="16">
        <v>340.1</v>
      </c>
      <c r="J1400" s="19">
        <v>0.65</v>
      </c>
      <c r="K1400" s="16">
        <v>74.3</v>
      </c>
      <c r="L1400" s="19">
        <v>0.88800000000000001</v>
      </c>
      <c r="M1400" s="19">
        <v>1.6E-2</v>
      </c>
      <c r="N1400" s="21">
        <v>110484.04</v>
      </c>
      <c r="O1400" s="21">
        <v>77399</v>
      </c>
      <c r="P1400" s="26">
        <v>33085.040000000001</v>
      </c>
    </row>
    <row r="1401" spans="1:16" x14ac:dyDescent="0.3">
      <c r="A1401" s="25">
        <v>1400</v>
      </c>
      <c r="B1401" s="16" t="s">
        <v>61</v>
      </c>
      <c r="C1401" s="16">
        <v>2025</v>
      </c>
      <c r="D1401" s="16" t="s">
        <v>41</v>
      </c>
      <c r="E1401" s="16" t="s">
        <v>34</v>
      </c>
      <c r="F1401" s="16" t="s">
        <v>29</v>
      </c>
      <c r="G1401" s="16">
        <v>31</v>
      </c>
      <c r="H1401" s="16">
        <v>3985</v>
      </c>
      <c r="I1401" s="16">
        <v>228.3</v>
      </c>
      <c r="J1401" s="19">
        <v>0.67800000000000005</v>
      </c>
      <c r="K1401" s="16">
        <v>84.8</v>
      </c>
      <c r="L1401" s="19">
        <v>0.85899999999999999</v>
      </c>
      <c r="M1401" s="19">
        <v>1.4999999999999999E-2</v>
      </c>
      <c r="N1401" s="21">
        <v>48317.120000000003</v>
      </c>
      <c r="O1401" s="21">
        <v>32083.16</v>
      </c>
      <c r="P1401" s="26">
        <v>16233.96</v>
      </c>
    </row>
    <row r="1402" spans="1:16" x14ac:dyDescent="0.3">
      <c r="A1402" s="25">
        <v>1401</v>
      </c>
      <c r="B1402" s="16" t="s">
        <v>61</v>
      </c>
      <c r="C1402" s="16">
        <v>2025</v>
      </c>
      <c r="D1402" s="16" t="s">
        <v>41</v>
      </c>
      <c r="E1402" s="16" t="s">
        <v>31</v>
      </c>
      <c r="F1402" s="16" t="s">
        <v>29</v>
      </c>
      <c r="G1402" s="16">
        <v>42</v>
      </c>
      <c r="H1402" s="16">
        <v>4619</v>
      </c>
      <c r="I1402" s="16">
        <v>330.7</v>
      </c>
      <c r="J1402" s="19">
        <v>0.63</v>
      </c>
      <c r="K1402" s="16">
        <v>85.7</v>
      </c>
      <c r="L1402" s="19">
        <v>0.97599999999999998</v>
      </c>
      <c r="M1402" s="19">
        <v>3.2000000000000001E-2</v>
      </c>
      <c r="N1402" s="21">
        <v>59152.99</v>
      </c>
      <c r="O1402" s="21">
        <v>44659.45</v>
      </c>
      <c r="P1402" s="26">
        <v>14493.54</v>
      </c>
    </row>
    <row r="1403" spans="1:16" x14ac:dyDescent="0.3">
      <c r="A1403" s="25">
        <v>1402</v>
      </c>
      <c r="B1403" s="16" t="s">
        <v>61</v>
      </c>
      <c r="C1403" s="16">
        <v>2025</v>
      </c>
      <c r="D1403" s="16" t="s">
        <v>41</v>
      </c>
      <c r="E1403" s="16" t="s">
        <v>35</v>
      </c>
      <c r="F1403" s="16" t="s">
        <v>29</v>
      </c>
      <c r="G1403" s="16">
        <v>60</v>
      </c>
      <c r="H1403" s="16">
        <v>8971</v>
      </c>
      <c r="I1403" s="16">
        <v>228.7</v>
      </c>
      <c r="J1403" s="19">
        <v>0.69099999999999995</v>
      </c>
      <c r="K1403" s="16">
        <v>79</v>
      </c>
      <c r="L1403" s="19">
        <v>0.93899999999999995</v>
      </c>
      <c r="M1403" s="19">
        <v>2.7E-2</v>
      </c>
      <c r="N1403" s="21">
        <v>113052.99</v>
      </c>
      <c r="O1403" s="21">
        <v>84964.2</v>
      </c>
      <c r="P1403" s="26">
        <v>28088.79</v>
      </c>
    </row>
    <row r="1404" spans="1:16" x14ac:dyDescent="0.3">
      <c r="A1404" s="25">
        <v>1403</v>
      </c>
      <c r="B1404" s="16" t="s">
        <v>61</v>
      </c>
      <c r="C1404" s="16">
        <v>2025</v>
      </c>
      <c r="D1404" s="16" t="s">
        <v>41</v>
      </c>
      <c r="E1404" s="16" t="s">
        <v>34</v>
      </c>
      <c r="F1404" s="16" t="s">
        <v>33</v>
      </c>
      <c r="G1404" s="16">
        <v>54</v>
      </c>
      <c r="H1404" s="16">
        <v>8083</v>
      </c>
      <c r="I1404" s="16">
        <v>478.8</v>
      </c>
      <c r="J1404" s="19">
        <v>0.753</v>
      </c>
      <c r="K1404" s="16">
        <v>94.9</v>
      </c>
      <c r="L1404" s="19">
        <v>0.91200000000000003</v>
      </c>
      <c r="M1404" s="19">
        <v>2.5000000000000001E-2</v>
      </c>
      <c r="N1404" s="21">
        <v>87041.65</v>
      </c>
      <c r="O1404" s="21">
        <v>63602.12</v>
      </c>
      <c r="P1404" s="26">
        <v>23439.53</v>
      </c>
    </row>
    <row r="1405" spans="1:16" x14ac:dyDescent="0.3">
      <c r="A1405" s="25">
        <v>1404</v>
      </c>
      <c r="B1405" s="16" t="s">
        <v>61</v>
      </c>
      <c r="C1405" s="16">
        <v>2025</v>
      </c>
      <c r="D1405" s="16" t="s">
        <v>41</v>
      </c>
      <c r="E1405" s="16" t="s">
        <v>31</v>
      </c>
      <c r="F1405" s="16" t="s">
        <v>33</v>
      </c>
      <c r="G1405" s="16">
        <v>70</v>
      </c>
      <c r="H1405" s="16">
        <v>9575</v>
      </c>
      <c r="I1405" s="16">
        <v>407.3</v>
      </c>
      <c r="J1405" s="19">
        <v>0.63800000000000001</v>
      </c>
      <c r="K1405" s="16">
        <v>91.7</v>
      </c>
      <c r="L1405" s="19">
        <v>0.92600000000000005</v>
      </c>
      <c r="M1405" s="19">
        <v>1.4E-2</v>
      </c>
      <c r="N1405" s="21">
        <v>117360.82</v>
      </c>
      <c r="O1405" s="21">
        <v>77500.19</v>
      </c>
      <c r="P1405" s="26">
        <v>39860.629999999997</v>
      </c>
    </row>
    <row r="1406" spans="1:16" x14ac:dyDescent="0.3">
      <c r="A1406" s="25">
        <v>1405</v>
      </c>
      <c r="B1406" s="16" t="s">
        <v>61</v>
      </c>
      <c r="C1406" s="16">
        <v>2025</v>
      </c>
      <c r="D1406" s="16" t="s">
        <v>41</v>
      </c>
      <c r="E1406" s="16" t="s">
        <v>32</v>
      </c>
      <c r="F1406" s="16" t="s">
        <v>37</v>
      </c>
      <c r="G1406" s="16">
        <v>42</v>
      </c>
      <c r="H1406" s="16">
        <v>4486</v>
      </c>
      <c r="I1406" s="16">
        <v>672</v>
      </c>
      <c r="J1406" s="19">
        <v>0.72</v>
      </c>
      <c r="K1406" s="16">
        <v>91.5</v>
      </c>
      <c r="L1406" s="19">
        <v>0.94899999999999995</v>
      </c>
      <c r="M1406" s="19">
        <v>2.9000000000000001E-2</v>
      </c>
      <c r="N1406" s="21">
        <v>78479.100000000006</v>
      </c>
      <c r="O1406" s="21">
        <v>55379.839999999997</v>
      </c>
      <c r="P1406" s="26">
        <v>23099.26</v>
      </c>
    </row>
    <row r="1407" spans="1:16" x14ac:dyDescent="0.3">
      <c r="A1407" s="25">
        <v>1406</v>
      </c>
      <c r="B1407" s="16" t="s">
        <v>61</v>
      </c>
      <c r="C1407" s="16">
        <v>2025</v>
      </c>
      <c r="D1407" s="16" t="s">
        <v>41</v>
      </c>
      <c r="E1407" s="16" t="s">
        <v>30</v>
      </c>
      <c r="F1407" s="16" t="s">
        <v>37</v>
      </c>
      <c r="G1407" s="16">
        <v>64</v>
      </c>
      <c r="H1407" s="16">
        <v>8803</v>
      </c>
      <c r="I1407" s="16">
        <v>655.8</v>
      </c>
      <c r="J1407" s="19">
        <v>0.65100000000000002</v>
      </c>
      <c r="K1407" s="16">
        <v>84.8</v>
      </c>
      <c r="L1407" s="19">
        <v>0.95299999999999996</v>
      </c>
      <c r="M1407" s="19">
        <v>0.03</v>
      </c>
      <c r="N1407" s="21">
        <v>112333.33</v>
      </c>
      <c r="O1407" s="21">
        <v>83592.12</v>
      </c>
      <c r="P1407" s="26">
        <v>28741.21</v>
      </c>
    </row>
    <row r="1408" spans="1:16" x14ac:dyDescent="0.3">
      <c r="A1408" s="25">
        <v>1407</v>
      </c>
      <c r="B1408" s="16" t="s">
        <v>61</v>
      </c>
      <c r="C1408" s="16">
        <v>2025</v>
      </c>
      <c r="D1408" s="16" t="s">
        <v>41</v>
      </c>
      <c r="E1408" s="16" t="s">
        <v>34</v>
      </c>
      <c r="F1408" s="16" t="s">
        <v>37</v>
      </c>
      <c r="G1408" s="16">
        <v>47</v>
      </c>
      <c r="H1408" s="16">
        <v>5500</v>
      </c>
      <c r="I1408" s="16">
        <v>712</v>
      </c>
      <c r="J1408" s="19">
        <v>0.64800000000000002</v>
      </c>
      <c r="K1408" s="16">
        <v>80.5</v>
      </c>
      <c r="L1408" s="19">
        <v>0.93400000000000005</v>
      </c>
      <c r="M1408" s="19">
        <v>2E-3</v>
      </c>
      <c r="N1408" s="21">
        <v>61093.4</v>
      </c>
      <c r="O1408" s="21">
        <v>38451</v>
      </c>
      <c r="P1408" s="26">
        <v>22642.400000000001</v>
      </c>
    </row>
    <row r="1409" spans="1:16" x14ac:dyDescent="0.3">
      <c r="A1409" s="25">
        <v>1408</v>
      </c>
      <c r="B1409" s="16" t="s">
        <v>61</v>
      </c>
      <c r="C1409" s="16">
        <v>2025</v>
      </c>
      <c r="D1409" s="16" t="s">
        <v>41</v>
      </c>
      <c r="E1409" s="16" t="s">
        <v>35</v>
      </c>
      <c r="F1409" s="16" t="s">
        <v>37</v>
      </c>
      <c r="G1409" s="16">
        <v>40</v>
      </c>
      <c r="H1409" s="16">
        <v>4977</v>
      </c>
      <c r="I1409" s="16">
        <v>644.4</v>
      </c>
      <c r="J1409" s="19">
        <v>0.67700000000000005</v>
      </c>
      <c r="K1409" s="16">
        <v>90.6</v>
      </c>
      <c r="L1409" s="19">
        <v>1</v>
      </c>
      <c r="M1409" s="19">
        <v>0.01</v>
      </c>
      <c r="N1409" s="21">
        <v>57204.55</v>
      </c>
      <c r="O1409" s="21">
        <v>38507.17</v>
      </c>
      <c r="P1409" s="26">
        <v>18697.38</v>
      </c>
    </row>
    <row r="1410" spans="1:16" x14ac:dyDescent="0.3">
      <c r="A1410" s="25">
        <v>1409</v>
      </c>
      <c r="B1410" s="16" t="s">
        <v>62</v>
      </c>
      <c r="C1410" s="16">
        <v>2025</v>
      </c>
      <c r="D1410" s="16" t="s">
        <v>26</v>
      </c>
      <c r="E1410" s="16" t="s">
        <v>32</v>
      </c>
      <c r="F1410" s="16" t="s">
        <v>28</v>
      </c>
      <c r="G1410" s="16">
        <v>34</v>
      </c>
      <c r="H1410" s="16">
        <v>5512</v>
      </c>
      <c r="I1410" s="16">
        <v>423.3</v>
      </c>
      <c r="J1410" s="19">
        <v>0.78300000000000003</v>
      </c>
      <c r="K1410" s="16">
        <v>80.599999999999994</v>
      </c>
      <c r="L1410" s="19">
        <v>0.88900000000000001</v>
      </c>
      <c r="M1410" s="19">
        <v>2.1999999999999999E-2</v>
      </c>
      <c r="N1410" s="21">
        <v>24940.17</v>
      </c>
      <c r="O1410" s="21">
        <v>17626.5</v>
      </c>
      <c r="P1410" s="26">
        <v>7313.67</v>
      </c>
    </row>
    <row r="1411" spans="1:16" x14ac:dyDescent="0.3">
      <c r="A1411" s="25">
        <v>1410</v>
      </c>
      <c r="B1411" s="16" t="s">
        <v>62</v>
      </c>
      <c r="C1411" s="16">
        <v>2025</v>
      </c>
      <c r="D1411" s="16" t="s">
        <v>26</v>
      </c>
      <c r="E1411" s="16" t="s">
        <v>30</v>
      </c>
      <c r="F1411" s="16" t="s">
        <v>28</v>
      </c>
      <c r="G1411" s="16">
        <v>65</v>
      </c>
      <c r="H1411" s="16">
        <v>11150</v>
      </c>
      <c r="I1411" s="16">
        <v>417.6</v>
      </c>
      <c r="J1411" s="19">
        <v>0.71899999999999997</v>
      </c>
      <c r="K1411" s="16">
        <v>81.3</v>
      </c>
      <c r="L1411" s="19">
        <v>0.89800000000000002</v>
      </c>
      <c r="M1411" s="19">
        <v>6.0000000000000001E-3</v>
      </c>
      <c r="N1411" s="21">
        <v>89146.87</v>
      </c>
      <c r="O1411" s="21">
        <v>55470.47</v>
      </c>
      <c r="P1411" s="26">
        <v>33676.400000000001</v>
      </c>
    </row>
    <row r="1412" spans="1:16" x14ac:dyDescent="0.3">
      <c r="A1412" s="25">
        <v>1411</v>
      </c>
      <c r="B1412" s="16" t="s">
        <v>62</v>
      </c>
      <c r="C1412" s="16">
        <v>2025</v>
      </c>
      <c r="D1412" s="16" t="s">
        <v>26</v>
      </c>
      <c r="E1412" s="16" t="s">
        <v>31</v>
      </c>
      <c r="F1412" s="16" t="s">
        <v>28</v>
      </c>
      <c r="G1412" s="16">
        <v>50</v>
      </c>
      <c r="H1412" s="16">
        <v>8282</v>
      </c>
      <c r="I1412" s="16">
        <v>410.9</v>
      </c>
      <c r="J1412" s="19">
        <v>0.68200000000000005</v>
      </c>
      <c r="K1412" s="16">
        <v>88.8</v>
      </c>
      <c r="L1412" s="19">
        <v>0.76700000000000002</v>
      </c>
      <c r="M1412" s="19">
        <v>3.7999999999999999E-2</v>
      </c>
      <c r="N1412" s="21">
        <v>58344.93</v>
      </c>
      <c r="O1412" s="21">
        <v>43762.93</v>
      </c>
      <c r="P1412" s="26">
        <v>14582</v>
      </c>
    </row>
    <row r="1413" spans="1:16" x14ac:dyDescent="0.3">
      <c r="A1413" s="25">
        <v>1412</v>
      </c>
      <c r="B1413" s="16" t="s">
        <v>62</v>
      </c>
      <c r="C1413" s="16">
        <v>2025</v>
      </c>
      <c r="D1413" s="16" t="s">
        <v>26</v>
      </c>
      <c r="E1413" s="16" t="s">
        <v>32</v>
      </c>
      <c r="F1413" s="16" t="s">
        <v>29</v>
      </c>
      <c r="G1413" s="16">
        <v>37</v>
      </c>
      <c r="H1413" s="16">
        <v>5103</v>
      </c>
      <c r="I1413" s="16">
        <v>288.8</v>
      </c>
      <c r="J1413" s="19">
        <v>0.65700000000000003</v>
      </c>
      <c r="K1413" s="16">
        <v>75.3</v>
      </c>
      <c r="L1413" s="19">
        <v>0.89800000000000002</v>
      </c>
      <c r="M1413" s="19">
        <v>1.4999999999999999E-2</v>
      </c>
      <c r="N1413" s="21">
        <v>52852.46</v>
      </c>
      <c r="O1413" s="21">
        <v>33010.769999999997</v>
      </c>
      <c r="P1413" s="26">
        <v>19841.689999999999</v>
      </c>
    </row>
    <row r="1414" spans="1:16" x14ac:dyDescent="0.3">
      <c r="A1414" s="25">
        <v>1413</v>
      </c>
      <c r="B1414" s="16" t="s">
        <v>62</v>
      </c>
      <c r="C1414" s="16">
        <v>2025</v>
      </c>
      <c r="D1414" s="16" t="s">
        <v>26</v>
      </c>
      <c r="E1414" s="16" t="s">
        <v>27</v>
      </c>
      <c r="F1414" s="16" t="s">
        <v>29</v>
      </c>
      <c r="G1414" s="16">
        <v>61</v>
      </c>
      <c r="H1414" s="16">
        <v>8324</v>
      </c>
      <c r="I1414" s="16">
        <v>374.7</v>
      </c>
      <c r="J1414" s="19">
        <v>0.65</v>
      </c>
      <c r="K1414" s="16">
        <v>82.5</v>
      </c>
      <c r="L1414" s="19">
        <v>0.93</v>
      </c>
      <c r="M1414" s="19">
        <v>0.02</v>
      </c>
      <c r="N1414" s="21">
        <v>72731.899999999994</v>
      </c>
      <c r="O1414" s="21">
        <v>45487.360000000001</v>
      </c>
      <c r="P1414" s="26">
        <v>27244.54</v>
      </c>
    </row>
    <row r="1415" spans="1:16" x14ac:dyDescent="0.3">
      <c r="A1415" s="25">
        <v>1414</v>
      </c>
      <c r="B1415" s="16" t="s">
        <v>62</v>
      </c>
      <c r="C1415" s="16">
        <v>2025</v>
      </c>
      <c r="D1415" s="16" t="s">
        <v>26</v>
      </c>
      <c r="E1415" s="16" t="s">
        <v>34</v>
      </c>
      <c r="F1415" s="16" t="s">
        <v>29</v>
      </c>
      <c r="G1415" s="16">
        <v>46</v>
      </c>
      <c r="H1415" s="16">
        <v>5727</v>
      </c>
      <c r="I1415" s="16">
        <v>296.2</v>
      </c>
      <c r="J1415" s="19">
        <v>0.69</v>
      </c>
      <c r="K1415" s="16">
        <v>82.1</v>
      </c>
      <c r="L1415" s="19">
        <v>0.92900000000000005</v>
      </c>
      <c r="M1415" s="19">
        <v>4.3999999999999997E-2</v>
      </c>
      <c r="N1415" s="21">
        <v>55099.11</v>
      </c>
      <c r="O1415" s="21">
        <v>35304.43</v>
      </c>
      <c r="P1415" s="26">
        <v>19794.68</v>
      </c>
    </row>
    <row r="1416" spans="1:16" x14ac:dyDescent="0.3">
      <c r="A1416" s="25">
        <v>1415</v>
      </c>
      <c r="B1416" s="16" t="s">
        <v>62</v>
      </c>
      <c r="C1416" s="16">
        <v>2025</v>
      </c>
      <c r="D1416" s="16" t="s">
        <v>26</v>
      </c>
      <c r="E1416" s="16" t="s">
        <v>31</v>
      </c>
      <c r="F1416" s="16" t="s">
        <v>29</v>
      </c>
      <c r="G1416" s="16">
        <v>31</v>
      </c>
      <c r="H1416" s="16">
        <v>4783</v>
      </c>
      <c r="I1416" s="16">
        <v>293.7</v>
      </c>
      <c r="J1416" s="19">
        <v>0.70299999999999996</v>
      </c>
      <c r="K1416" s="16">
        <v>76.900000000000006</v>
      </c>
      <c r="L1416" s="19">
        <v>0.92300000000000004</v>
      </c>
      <c r="M1416" s="19">
        <v>0.04</v>
      </c>
      <c r="N1416" s="21">
        <v>42727.71</v>
      </c>
      <c r="O1416" s="21">
        <v>27455.439999999999</v>
      </c>
      <c r="P1416" s="26">
        <v>15272.27</v>
      </c>
    </row>
    <row r="1417" spans="1:16" x14ac:dyDescent="0.3">
      <c r="A1417" s="25">
        <v>1416</v>
      </c>
      <c r="B1417" s="16" t="s">
        <v>62</v>
      </c>
      <c r="C1417" s="16">
        <v>2025</v>
      </c>
      <c r="D1417" s="16" t="s">
        <v>26</v>
      </c>
      <c r="E1417" s="16" t="s">
        <v>35</v>
      </c>
      <c r="F1417" s="16" t="s">
        <v>29</v>
      </c>
      <c r="G1417" s="16">
        <v>43</v>
      </c>
      <c r="H1417" s="16">
        <v>5028</v>
      </c>
      <c r="I1417" s="16">
        <v>307.39999999999998</v>
      </c>
      <c r="J1417" s="19">
        <v>0.56200000000000006</v>
      </c>
      <c r="K1417" s="16">
        <v>80.5</v>
      </c>
      <c r="L1417" s="19">
        <v>0.94899999999999995</v>
      </c>
      <c r="M1417" s="19">
        <v>0</v>
      </c>
      <c r="N1417" s="21">
        <v>38110.629999999997</v>
      </c>
      <c r="O1417" s="21">
        <v>27922.98</v>
      </c>
      <c r="P1417" s="26">
        <v>10187.65</v>
      </c>
    </row>
    <row r="1418" spans="1:16" x14ac:dyDescent="0.3">
      <c r="A1418" s="25">
        <v>1417</v>
      </c>
      <c r="B1418" s="16" t="s">
        <v>62</v>
      </c>
      <c r="C1418" s="16">
        <v>2025</v>
      </c>
      <c r="D1418" s="16" t="s">
        <v>26</v>
      </c>
      <c r="E1418" s="16" t="s">
        <v>27</v>
      </c>
      <c r="F1418" s="16" t="s">
        <v>33</v>
      </c>
      <c r="G1418" s="16">
        <v>71</v>
      </c>
      <c r="H1418" s="16">
        <v>11012</v>
      </c>
      <c r="I1418" s="16">
        <v>488.5</v>
      </c>
      <c r="J1418" s="19">
        <v>0.754</v>
      </c>
      <c r="K1418" s="16">
        <v>82.5</v>
      </c>
      <c r="L1418" s="19">
        <v>0.97399999999999998</v>
      </c>
      <c r="M1418" s="19">
        <v>1.9E-2</v>
      </c>
      <c r="N1418" s="21">
        <v>106795.81</v>
      </c>
      <c r="O1418" s="21">
        <v>80914.490000000005</v>
      </c>
      <c r="P1418" s="26">
        <v>25881.32</v>
      </c>
    </row>
    <row r="1419" spans="1:16" x14ac:dyDescent="0.3">
      <c r="A1419" s="25">
        <v>1418</v>
      </c>
      <c r="B1419" s="16" t="s">
        <v>62</v>
      </c>
      <c r="C1419" s="16">
        <v>2025</v>
      </c>
      <c r="D1419" s="16" t="s">
        <v>26</v>
      </c>
      <c r="E1419" s="16" t="s">
        <v>27</v>
      </c>
      <c r="F1419" s="16" t="s">
        <v>36</v>
      </c>
      <c r="G1419" s="16">
        <v>69</v>
      </c>
      <c r="H1419" s="16">
        <v>9716</v>
      </c>
      <c r="I1419" s="16">
        <v>872.9</v>
      </c>
      <c r="J1419" s="19">
        <v>0.61399999999999999</v>
      </c>
      <c r="K1419" s="16">
        <v>80.7</v>
      </c>
      <c r="L1419" s="19">
        <v>0.90700000000000003</v>
      </c>
      <c r="M1419" s="19">
        <v>0.04</v>
      </c>
      <c r="N1419" s="21">
        <v>74413.95</v>
      </c>
      <c r="O1419" s="21">
        <v>51432.58</v>
      </c>
      <c r="P1419" s="26">
        <v>22981.37</v>
      </c>
    </row>
    <row r="1420" spans="1:16" x14ac:dyDescent="0.3">
      <c r="A1420" s="25">
        <v>1419</v>
      </c>
      <c r="B1420" s="16" t="s">
        <v>62</v>
      </c>
      <c r="C1420" s="16">
        <v>2025</v>
      </c>
      <c r="D1420" s="16" t="s">
        <v>26</v>
      </c>
      <c r="E1420" s="16" t="s">
        <v>30</v>
      </c>
      <c r="F1420" s="16" t="s">
        <v>36</v>
      </c>
      <c r="G1420" s="16">
        <v>36</v>
      </c>
      <c r="H1420" s="16">
        <v>5264</v>
      </c>
      <c r="I1420" s="16">
        <v>916.8</v>
      </c>
      <c r="J1420" s="19">
        <v>0.66500000000000004</v>
      </c>
      <c r="K1420" s="16">
        <v>79</v>
      </c>
      <c r="L1420" s="19">
        <v>0.874</v>
      </c>
      <c r="M1420" s="19">
        <v>4.2000000000000003E-2</v>
      </c>
      <c r="N1420" s="21">
        <v>33705.870000000003</v>
      </c>
      <c r="O1420" s="21">
        <v>21552.43</v>
      </c>
      <c r="P1420" s="26">
        <v>12153.44</v>
      </c>
    </row>
    <row r="1421" spans="1:16" x14ac:dyDescent="0.3">
      <c r="A1421" s="25">
        <v>1420</v>
      </c>
      <c r="B1421" s="16" t="s">
        <v>62</v>
      </c>
      <c r="C1421" s="16">
        <v>2025</v>
      </c>
      <c r="D1421" s="16" t="s">
        <v>26</v>
      </c>
      <c r="E1421" s="16" t="s">
        <v>31</v>
      </c>
      <c r="F1421" s="16" t="s">
        <v>36</v>
      </c>
      <c r="G1421" s="16">
        <v>60</v>
      </c>
      <c r="H1421" s="16">
        <v>8493</v>
      </c>
      <c r="I1421" s="16">
        <v>952.5</v>
      </c>
      <c r="J1421" s="19">
        <v>0.63200000000000001</v>
      </c>
      <c r="K1421" s="16">
        <v>85.5</v>
      </c>
      <c r="L1421" s="19">
        <v>0.90600000000000003</v>
      </c>
      <c r="M1421" s="19">
        <v>1.6E-2</v>
      </c>
      <c r="N1421" s="21">
        <v>74455.350000000006</v>
      </c>
      <c r="O1421" s="21">
        <v>57204.83</v>
      </c>
      <c r="P1421" s="26">
        <v>17250.52</v>
      </c>
    </row>
    <row r="1422" spans="1:16" x14ac:dyDescent="0.3">
      <c r="A1422" s="25">
        <v>1421</v>
      </c>
      <c r="B1422" s="16" t="s">
        <v>62</v>
      </c>
      <c r="C1422" s="16">
        <v>2025</v>
      </c>
      <c r="D1422" s="16" t="s">
        <v>26</v>
      </c>
      <c r="E1422" s="16" t="s">
        <v>30</v>
      </c>
      <c r="F1422" s="16" t="s">
        <v>37</v>
      </c>
      <c r="G1422" s="16">
        <v>62</v>
      </c>
      <c r="H1422" s="16">
        <v>8759</v>
      </c>
      <c r="I1422" s="16">
        <v>619.79999999999995</v>
      </c>
      <c r="J1422" s="19">
        <v>0.64800000000000002</v>
      </c>
      <c r="K1422" s="16">
        <v>88.5</v>
      </c>
      <c r="L1422" s="19">
        <v>0.88100000000000001</v>
      </c>
      <c r="M1422" s="19">
        <v>6.3E-2</v>
      </c>
      <c r="N1422" s="21">
        <v>67374.3</v>
      </c>
      <c r="O1422" s="21">
        <v>46172.04</v>
      </c>
      <c r="P1422" s="26">
        <v>21202.26</v>
      </c>
    </row>
    <row r="1423" spans="1:16" x14ac:dyDescent="0.3">
      <c r="A1423" s="25">
        <v>1422</v>
      </c>
      <c r="B1423" s="16" t="s">
        <v>62</v>
      </c>
      <c r="C1423" s="16">
        <v>2025</v>
      </c>
      <c r="D1423" s="16" t="s">
        <v>38</v>
      </c>
      <c r="E1423" s="16" t="s">
        <v>27</v>
      </c>
      <c r="F1423" s="16" t="s">
        <v>28</v>
      </c>
      <c r="G1423" s="16">
        <v>49</v>
      </c>
      <c r="H1423" s="16">
        <v>7410</v>
      </c>
      <c r="I1423" s="16">
        <v>428.8</v>
      </c>
      <c r="J1423" s="19">
        <v>0.82199999999999995</v>
      </c>
      <c r="K1423" s="16">
        <v>80.900000000000006</v>
      </c>
      <c r="L1423" s="19">
        <v>0.878</v>
      </c>
      <c r="M1423" s="19">
        <v>3.1E-2</v>
      </c>
      <c r="N1423" s="21">
        <v>60056.98</v>
      </c>
      <c r="O1423" s="21">
        <v>38371.089999999997</v>
      </c>
      <c r="P1423" s="26">
        <v>21685.89</v>
      </c>
    </row>
    <row r="1424" spans="1:16" x14ac:dyDescent="0.3">
      <c r="A1424" s="25">
        <v>1423</v>
      </c>
      <c r="B1424" s="16" t="s">
        <v>62</v>
      </c>
      <c r="C1424" s="16">
        <v>2025</v>
      </c>
      <c r="D1424" s="16" t="s">
        <v>38</v>
      </c>
      <c r="E1424" s="16" t="s">
        <v>27</v>
      </c>
      <c r="F1424" s="16" t="s">
        <v>29</v>
      </c>
      <c r="G1424" s="16">
        <v>75</v>
      </c>
      <c r="H1424" s="16">
        <v>10490</v>
      </c>
      <c r="I1424" s="16">
        <v>322.60000000000002</v>
      </c>
      <c r="J1424" s="19">
        <v>0.621</v>
      </c>
      <c r="K1424" s="16">
        <v>82</v>
      </c>
      <c r="L1424" s="19">
        <v>0.94</v>
      </c>
      <c r="M1424" s="19">
        <v>3.9E-2</v>
      </c>
      <c r="N1424" s="21">
        <v>100776.24</v>
      </c>
      <c r="O1424" s="21">
        <v>63073.48</v>
      </c>
      <c r="P1424" s="26">
        <v>37702.76</v>
      </c>
    </row>
    <row r="1425" spans="1:16" x14ac:dyDescent="0.3">
      <c r="A1425" s="25">
        <v>1424</v>
      </c>
      <c r="B1425" s="16" t="s">
        <v>62</v>
      </c>
      <c r="C1425" s="16">
        <v>2025</v>
      </c>
      <c r="D1425" s="16" t="s">
        <v>38</v>
      </c>
      <c r="E1425" s="16" t="s">
        <v>30</v>
      </c>
      <c r="F1425" s="16" t="s">
        <v>29</v>
      </c>
      <c r="G1425" s="16">
        <v>43</v>
      </c>
      <c r="H1425" s="16">
        <v>5626</v>
      </c>
      <c r="I1425" s="16">
        <v>236.2</v>
      </c>
      <c r="J1425" s="19">
        <v>0.68100000000000005</v>
      </c>
      <c r="K1425" s="16">
        <v>86.4</v>
      </c>
      <c r="L1425" s="19">
        <v>0.91800000000000004</v>
      </c>
      <c r="M1425" s="19">
        <v>4.8000000000000001E-2</v>
      </c>
      <c r="N1425" s="21">
        <v>49881.71</v>
      </c>
      <c r="O1425" s="21">
        <v>38300.81</v>
      </c>
      <c r="P1425" s="26">
        <v>11580.9</v>
      </c>
    </row>
    <row r="1426" spans="1:16" x14ac:dyDescent="0.3">
      <c r="A1426" s="25">
        <v>1425</v>
      </c>
      <c r="B1426" s="16" t="s">
        <v>62</v>
      </c>
      <c r="C1426" s="16">
        <v>2025</v>
      </c>
      <c r="D1426" s="16" t="s">
        <v>38</v>
      </c>
      <c r="E1426" s="16" t="s">
        <v>31</v>
      </c>
      <c r="F1426" s="16" t="s">
        <v>29</v>
      </c>
      <c r="G1426" s="16">
        <v>40</v>
      </c>
      <c r="H1426" s="16">
        <v>4141</v>
      </c>
      <c r="I1426" s="16">
        <v>263.2</v>
      </c>
      <c r="J1426" s="19">
        <v>0.56999999999999995</v>
      </c>
      <c r="K1426" s="16">
        <v>81.099999999999994</v>
      </c>
      <c r="L1426" s="19">
        <v>0.94599999999999995</v>
      </c>
      <c r="M1426" s="19">
        <v>5.6000000000000001E-2</v>
      </c>
      <c r="N1426" s="21">
        <v>31855.98</v>
      </c>
      <c r="O1426" s="21">
        <v>21688.09</v>
      </c>
      <c r="P1426" s="26">
        <v>10167.89</v>
      </c>
    </row>
    <row r="1427" spans="1:16" x14ac:dyDescent="0.3">
      <c r="A1427" s="25">
        <v>1426</v>
      </c>
      <c r="B1427" s="16" t="s">
        <v>62</v>
      </c>
      <c r="C1427" s="16">
        <v>2025</v>
      </c>
      <c r="D1427" s="16" t="s">
        <v>38</v>
      </c>
      <c r="E1427" s="16" t="s">
        <v>34</v>
      </c>
      <c r="F1427" s="16" t="s">
        <v>33</v>
      </c>
      <c r="G1427" s="16">
        <v>45</v>
      </c>
      <c r="H1427" s="16">
        <v>6437</v>
      </c>
      <c r="I1427" s="16">
        <v>508</v>
      </c>
      <c r="J1427" s="19">
        <v>0.749</v>
      </c>
      <c r="K1427" s="16">
        <v>87.7</v>
      </c>
      <c r="L1427" s="19">
        <v>0.83899999999999997</v>
      </c>
      <c r="M1427" s="19">
        <v>3.2000000000000001E-2</v>
      </c>
      <c r="N1427" s="21">
        <v>55570.61</v>
      </c>
      <c r="O1427" s="21">
        <v>40126.85</v>
      </c>
      <c r="P1427" s="26">
        <v>15443.76</v>
      </c>
    </row>
    <row r="1428" spans="1:16" x14ac:dyDescent="0.3">
      <c r="A1428" s="25">
        <v>1427</v>
      </c>
      <c r="B1428" s="16" t="s">
        <v>62</v>
      </c>
      <c r="C1428" s="16">
        <v>2025</v>
      </c>
      <c r="D1428" s="16" t="s">
        <v>38</v>
      </c>
      <c r="E1428" s="16" t="s">
        <v>35</v>
      </c>
      <c r="F1428" s="16" t="s">
        <v>33</v>
      </c>
      <c r="G1428" s="16">
        <v>64</v>
      </c>
      <c r="H1428" s="16">
        <v>7220</v>
      </c>
      <c r="I1428" s="16">
        <v>504</v>
      </c>
      <c r="J1428" s="19">
        <v>0.85199999999999998</v>
      </c>
      <c r="K1428" s="16">
        <v>84.9</v>
      </c>
      <c r="L1428" s="19">
        <v>0.93700000000000006</v>
      </c>
      <c r="M1428" s="19">
        <v>2.9000000000000001E-2</v>
      </c>
      <c r="N1428" s="21">
        <v>92926.52</v>
      </c>
      <c r="O1428" s="21">
        <v>60186.2</v>
      </c>
      <c r="P1428" s="26">
        <v>32740.32</v>
      </c>
    </row>
    <row r="1429" spans="1:16" x14ac:dyDescent="0.3">
      <c r="A1429" s="25">
        <v>1428</v>
      </c>
      <c r="B1429" s="16" t="s">
        <v>62</v>
      </c>
      <c r="C1429" s="16">
        <v>2025</v>
      </c>
      <c r="D1429" s="16" t="s">
        <v>38</v>
      </c>
      <c r="E1429" s="16" t="s">
        <v>32</v>
      </c>
      <c r="F1429" s="16" t="s">
        <v>36</v>
      </c>
      <c r="G1429" s="16">
        <v>79</v>
      </c>
      <c r="H1429" s="16">
        <v>11262</v>
      </c>
      <c r="I1429" s="16">
        <v>887.2</v>
      </c>
      <c r="J1429" s="19">
        <v>0.66800000000000004</v>
      </c>
      <c r="K1429" s="16">
        <v>80.3</v>
      </c>
      <c r="L1429" s="19">
        <v>0.879</v>
      </c>
      <c r="M1429" s="19">
        <v>2.5999999999999999E-2</v>
      </c>
      <c r="N1429" s="21">
        <v>94190.1</v>
      </c>
      <c r="O1429" s="21">
        <v>68078</v>
      </c>
      <c r="P1429" s="26">
        <v>26112.1</v>
      </c>
    </row>
    <row r="1430" spans="1:16" x14ac:dyDescent="0.3">
      <c r="A1430" s="25">
        <v>1429</v>
      </c>
      <c r="B1430" s="16" t="s">
        <v>62</v>
      </c>
      <c r="C1430" s="16">
        <v>2025</v>
      </c>
      <c r="D1430" s="16" t="s">
        <v>38</v>
      </c>
      <c r="E1430" s="16" t="s">
        <v>30</v>
      </c>
      <c r="F1430" s="16" t="s">
        <v>36</v>
      </c>
      <c r="G1430" s="16">
        <v>53</v>
      </c>
      <c r="H1430" s="16">
        <v>7115</v>
      </c>
      <c r="I1430" s="16">
        <v>874.1</v>
      </c>
      <c r="J1430" s="19">
        <v>0.68899999999999995</v>
      </c>
      <c r="K1430" s="16">
        <v>88.4</v>
      </c>
      <c r="L1430" s="19">
        <v>0.88700000000000001</v>
      </c>
      <c r="M1430" s="19">
        <v>0.04</v>
      </c>
      <c r="N1430" s="21">
        <v>72356.86</v>
      </c>
      <c r="O1430" s="21">
        <v>50143.839999999997</v>
      </c>
      <c r="P1430" s="26">
        <v>22213.02</v>
      </c>
    </row>
    <row r="1431" spans="1:16" x14ac:dyDescent="0.3">
      <c r="A1431" s="25">
        <v>1430</v>
      </c>
      <c r="B1431" s="16" t="s">
        <v>62</v>
      </c>
      <c r="C1431" s="16">
        <v>2025</v>
      </c>
      <c r="D1431" s="16" t="s">
        <v>38</v>
      </c>
      <c r="E1431" s="16" t="s">
        <v>27</v>
      </c>
      <c r="F1431" s="16" t="s">
        <v>37</v>
      </c>
      <c r="G1431" s="16">
        <v>70</v>
      </c>
      <c r="H1431" s="16">
        <v>9948</v>
      </c>
      <c r="I1431" s="16">
        <v>679.2</v>
      </c>
      <c r="J1431" s="19">
        <v>0.66400000000000003</v>
      </c>
      <c r="K1431" s="16">
        <v>85.2</v>
      </c>
      <c r="L1431" s="19">
        <v>0.82199999999999995</v>
      </c>
      <c r="M1431" s="19">
        <v>3.7999999999999999E-2</v>
      </c>
      <c r="N1431" s="21">
        <v>92822.85</v>
      </c>
      <c r="O1431" s="21">
        <v>67605.34</v>
      </c>
      <c r="P1431" s="26">
        <v>25217.51</v>
      </c>
    </row>
    <row r="1432" spans="1:16" x14ac:dyDescent="0.3">
      <c r="A1432" s="25">
        <v>1431</v>
      </c>
      <c r="B1432" s="16" t="s">
        <v>62</v>
      </c>
      <c r="C1432" s="16">
        <v>2025</v>
      </c>
      <c r="D1432" s="16" t="s">
        <v>38</v>
      </c>
      <c r="E1432" s="16" t="s">
        <v>30</v>
      </c>
      <c r="F1432" s="16" t="s">
        <v>37</v>
      </c>
      <c r="G1432" s="16">
        <v>49</v>
      </c>
      <c r="H1432" s="16">
        <v>7095</v>
      </c>
      <c r="I1432" s="16">
        <v>696.6</v>
      </c>
      <c r="J1432" s="19">
        <v>0.61199999999999999</v>
      </c>
      <c r="K1432" s="16">
        <v>84.4</v>
      </c>
      <c r="L1432" s="19">
        <v>0.95199999999999996</v>
      </c>
      <c r="M1432" s="19">
        <v>1.2E-2</v>
      </c>
      <c r="N1432" s="21">
        <v>55872.94</v>
      </c>
      <c r="O1432" s="21">
        <v>35029.82</v>
      </c>
      <c r="P1432" s="26">
        <v>20843.12</v>
      </c>
    </row>
    <row r="1433" spans="1:16" x14ac:dyDescent="0.3">
      <c r="A1433" s="25">
        <v>1432</v>
      </c>
      <c r="B1433" s="16" t="s">
        <v>62</v>
      </c>
      <c r="C1433" s="16">
        <v>2025</v>
      </c>
      <c r="D1433" s="16" t="s">
        <v>38</v>
      </c>
      <c r="E1433" s="16" t="s">
        <v>31</v>
      </c>
      <c r="F1433" s="16" t="s">
        <v>37</v>
      </c>
      <c r="G1433" s="16">
        <v>59</v>
      </c>
      <c r="H1433" s="16">
        <v>8108</v>
      </c>
      <c r="I1433" s="16">
        <v>608.4</v>
      </c>
      <c r="J1433" s="19">
        <v>0.72399999999999998</v>
      </c>
      <c r="K1433" s="16">
        <v>76.5</v>
      </c>
      <c r="L1433" s="19">
        <v>0.88</v>
      </c>
      <c r="M1433" s="19">
        <v>3.2000000000000001E-2</v>
      </c>
      <c r="N1433" s="21">
        <v>89468.98</v>
      </c>
      <c r="O1433" s="21">
        <v>64432.62</v>
      </c>
      <c r="P1433" s="26">
        <v>25036.36</v>
      </c>
    </row>
    <row r="1434" spans="1:16" x14ac:dyDescent="0.3">
      <c r="A1434" s="25">
        <v>1433</v>
      </c>
      <c r="B1434" s="16" t="s">
        <v>62</v>
      </c>
      <c r="C1434" s="16">
        <v>2025</v>
      </c>
      <c r="D1434" s="16" t="s">
        <v>39</v>
      </c>
      <c r="E1434" s="16" t="s">
        <v>27</v>
      </c>
      <c r="F1434" s="16" t="s">
        <v>28</v>
      </c>
      <c r="G1434" s="16">
        <v>35</v>
      </c>
      <c r="H1434" s="16">
        <v>4561</v>
      </c>
      <c r="I1434" s="16">
        <v>274.60000000000002</v>
      </c>
      <c r="J1434" s="19">
        <v>0.90600000000000003</v>
      </c>
      <c r="K1434" s="16">
        <v>83.8</v>
      </c>
      <c r="L1434" s="19">
        <v>0.83299999999999996</v>
      </c>
      <c r="M1434" s="19">
        <v>2.1999999999999999E-2</v>
      </c>
      <c r="N1434" s="21">
        <v>56258.52</v>
      </c>
      <c r="O1434" s="21">
        <v>37868.589999999997</v>
      </c>
      <c r="P1434" s="26">
        <v>18389.93</v>
      </c>
    </row>
    <row r="1435" spans="1:16" x14ac:dyDescent="0.3">
      <c r="A1435" s="25">
        <v>1434</v>
      </c>
      <c r="B1435" s="16" t="s">
        <v>62</v>
      </c>
      <c r="C1435" s="16">
        <v>2025</v>
      </c>
      <c r="D1435" s="16" t="s">
        <v>39</v>
      </c>
      <c r="E1435" s="16" t="s">
        <v>30</v>
      </c>
      <c r="F1435" s="16" t="s">
        <v>28</v>
      </c>
      <c r="G1435" s="16">
        <v>47</v>
      </c>
      <c r="H1435" s="16">
        <v>7991</v>
      </c>
      <c r="I1435" s="16">
        <v>374.6</v>
      </c>
      <c r="J1435" s="19">
        <v>0.78500000000000003</v>
      </c>
      <c r="K1435" s="16">
        <v>92</v>
      </c>
      <c r="L1435" s="19">
        <v>0.90800000000000003</v>
      </c>
      <c r="M1435" s="19">
        <v>3.5999999999999997E-2</v>
      </c>
      <c r="N1435" s="21">
        <v>77948.14</v>
      </c>
      <c r="O1435" s="21">
        <v>58316.27</v>
      </c>
      <c r="P1435" s="26">
        <v>19631.87</v>
      </c>
    </row>
    <row r="1436" spans="1:16" x14ac:dyDescent="0.3">
      <c r="A1436" s="25">
        <v>1435</v>
      </c>
      <c r="B1436" s="16" t="s">
        <v>62</v>
      </c>
      <c r="C1436" s="16">
        <v>2025</v>
      </c>
      <c r="D1436" s="16" t="s">
        <v>39</v>
      </c>
      <c r="E1436" s="16" t="s">
        <v>30</v>
      </c>
      <c r="F1436" s="16" t="s">
        <v>29</v>
      </c>
      <c r="G1436" s="16">
        <v>45</v>
      </c>
      <c r="H1436" s="16">
        <v>5498</v>
      </c>
      <c r="I1436" s="16">
        <v>330.5</v>
      </c>
      <c r="J1436" s="19">
        <v>0.72399999999999998</v>
      </c>
      <c r="K1436" s="16">
        <v>77.8</v>
      </c>
      <c r="L1436" s="19">
        <v>0.86699999999999999</v>
      </c>
      <c r="M1436" s="19">
        <v>4.5999999999999999E-2</v>
      </c>
      <c r="N1436" s="21">
        <v>53339.53</v>
      </c>
      <c r="O1436" s="21">
        <v>36909.06</v>
      </c>
      <c r="P1436" s="26">
        <v>16430.47</v>
      </c>
    </row>
    <row r="1437" spans="1:16" x14ac:dyDescent="0.3">
      <c r="A1437" s="25">
        <v>1436</v>
      </c>
      <c r="B1437" s="16" t="s">
        <v>62</v>
      </c>
      <c r="C1437" s="16">
        <v>2025</v>
      </c>
      <c r="D1437" s="16" t="s">
        <v>39</v>
      </c>
      <c r="E1437" s="16" t="s">
        <v>34</v>
      </c>
      <c r="F1437" s="16" t="s">
        <v>29</v>
      </c>
      <c r="G1437" s="16">
        <v>39</v>
      </c>
      <c r="H1437" s="16">
        <v>5481</v>
      </c>
      <c r="I1437" s="16">
        <v>236.6</v>
      </c>
      <c r="J1437" s="19">
        <v>0.54500000000000004</v>
      </c>
      <c r="K1437" s="16">
        <v>78.5</v>
      </c>
      <c r="L1437" s="19">
        <v>0.98399999999999999</v>
      </c>
      <c r="M1437" s="19">
        <v>3.4000000000000002E-2</v>
      </c>
      <c r="N1437" s="21">
        <v>52830.64</v>
      </c>
      <c r="O1437" s="21">
        <v>39264.06</v>
      </c>
      <c r="P1437" s="26">
        <v>13566.58</v>
      </c>
    </row>
    <row r="1438" spans="1:16" x14ac:dyDescent="0.3">
      <c r="A1438" s="25">
        <v>1437</v>
      </c>
      <c r="B1438" s="16" t="s">
        <v>62</v>
      </c>
      <c r="C1438" s="16">
        <v>2025</v>
      </c>
      <c r="D1438" s="16" t="s">
        <v>39</v>
      </c>
      <c r="E1438" s="16" t="s">
        <v>31</v>
      </c>
      <c r="F1438" s="16" t="s">
        <v>29</v>
      </c>
      <c r="G1438" s="16">
        <v>57</v>
      </c>
      <c r="H1438" s="16">
        <v>7593</v>
      </c>
      <c r="I1438" s="16">
        <v>336.5</v>
      </c>
      <c r="J1438" s="19">
        <v>0.70299999999999996</v>
      </c>
      <c r="K1438" s="16">
        <v>78</v>
      </c>
      <c r="L1438" s="19">
        <v>0.79300000000000004</v>
      </c>
      <c r="M1438" s="19">
        <v>1.7999999999999999E-2</v>
      </c>
      <c r="N1438" s="21">
        <v>91103.73</v>
      </c>
      <c r="O1438" s="21">
        <v>68719.960000000006</v>
      </c>
      <c r="P1438" s="26">
        <v>22383.77</v>
      </c>
    </row>
    <row r="1439" spans="1:16" x14ac:dyDescent="0.3">
      <c r="A1439" s="25">
        <v>1438</v>
      </c>
      <c r="B1439" s="16" t="s">
        <v>62</v>
      </c>
      <c r="C1439" s="16">
        <v>2025</v>
      </c>
      <c r="D1439" s="16" t="s">
        <v>39</v>
      </c>
      <c r="E1439" s="16" t="s">
        <v>35</v>
      </c>
      <c r="F1439" s="16" t="s">
        <v>29</v>
      </c>
      <c r="G1439" s="16">
        <v>64</v>
      </c>
      <c r="H1439" s="16">
        <v>7908</v>
      </c>
      <c r="I1439" s="16">
        <v>224.9</v>
      </c>
      <c r="J1439" s="19">
        <v>0.68100000000000005</v>
      </c>
      <c r="K1439" s="16">
        <v>84</v>
      </c>
      <c r="L1439" s="19">
        <v>0.81100000000000005</v>
      </c>
      <c r="M1439" s="19">
        <v>3.4000000000000002E-2</v>
      </c>
      <c r="N1439" s="21">
        <v>92723.26</v>
      </c>
      <c r="O1439" s="21">
        <v>62496.2</v>
      </c>
      <c r="P1439" s="26">
        <v>30227.06</v>
      </c>
    </row>
    <row r="1440" spans="1:16" x14ac:dyDescent="0.3">
      <c r="A1440" s="25">
        <v>1439</v>
      </c>
      <c r="B1440" s="16" t="s">
        <v>62</v>
      </c>
      <c r="C1440" s="16">
        <v>2025</v>
      </c>
      <c r="D1440" s="16" t="s">
        <v>39</v>
      </c>
      <c r="E1440" s="16" t="s">
        <v>27</v>
      </c>
      <c r="F1440" s="16" t="s">
        <v>33</v>
      </c>
      <c r="G1440" s="16">
        <v>58</v>
      </c>
      <c r="H1440" s="16">
        <v>8046</v>
      </c>
      <c r="I1440" s="16">
        <v>466.4</v>
      </c>
      <c r="J1440" s="19">
        <v>0.73599999999999999</v>
      </c>
      <c r="K1440" s="16">
        <v>83.1</v>
      </c>
      <c r="L1440" s="19">
        <v>0.88800000000000001</v>
      </c>
      <c r="M1440" s="19">
        <v>2.7E-2</v>
      </c>
      <c r="N1440" s="21">
        <v>81157.98</v>
      </c>
      <c r="O1440" s="21">
        <v>51461.86</v>
      </c>
      <c r="P1440" s="26">
        <v>29696.12</v>
      </c>
    </row>
    <row r="1441" spans="1:16" x14ac:dyDescent="0.3">
      <c r="A1441" s="25">
        <v>1440</v>
      </c>
      <c r="B1441" s="16" t="s">
        <v>62</v>
      </c>
      <c r="C1441" s="16">
        <v>2025</v>
      </c>
      <c r="D1441" s="16" t="s">
        <v>39</v>
      </c>
      <c r="E1441" s="16" t="s">
        <v>30</v>
      </c>
      <c r="F1441" s="16" t="s">
        <v>33</v>
      </c>
      <c r="G1441" s="16">
        <v>63</v>
      </c>
      <c r="H1441" s="16">
        <v>8983</v>
      </c>
      <c r="I1441" s="16">
        <v>570.29999999999995</v>
      </c>
      <c r="J1441" s="19">
        <v>0.75</v>
      </c>
      <c r="K1441" s="16">
        <v>80.2</v>
      </c>
      <c r="L1441" s="19">
        <v>0.92500000000000004</v>
      </c>
      <c r="M1441" s="19">
        <v>5.7000000000000002E-2</v>
      </c>
      <c r="N1441" s="21">
        <v>107329.79</v>
      </c>
      <c r="O1441" s="21">
        <v>80305.22</v>
      </c>
      <c r="P1441" s="26">
        <v>27024.57</v>
      </c>
    </row>
    <row r="1442" spans="1:16" x14ac:dyDescent="0.3">
      <c r="A1442" s="25">
        <v>1441</v>
      </c>
      <c r="B1442" s="16" t="s">
        <v>62</v>
      </c>
      <c r="C1442" s="16">
        <v>2025</v>
      </c>
      <c r="D1442" s="16" t="s">
        <v>39</v>
      </c>
      <c r="E1442" s="16" t="s">
        <v>34</v>
      </c>
      <c r="F1442" s="16" t="s">
        <v>33</v>
      </c>
      <c r="G1442" s="16">
        <v>58</v>
      </c>
      <c r="H1442" s="16">
        <v>6962</v>
      </c>
      <c r="I1442" s="16">
        <v>494.7</v>
      </c>
      <c r="J1442" s="19">
        <v>0.66100000000000003</v>
      </c>
      <c r="K1442" s="16">
        <v>82.1</v>
      </c>
      <c r="L1442" s="19">
        <v>0.92100000000000004</v>
      </c>
      <c r="M1442" s="19">
        <v>2.3E-2</v>
      </c>
      <c r="N1442" s="21">
        <v>83294.289999999994</v>
      </c>
      <c r="O1442" s="21">
        <v>61464.25</v>
      </c>
      <c r="P1442" s="26">
        <v>21830.04</v>
      </c>
    </row>
    <row r="1443" spans="1:16" x14ac:dyDescent="0.3">
      <c r="A1443" s="25">
        <v>1442</v>
      </c>
      <c r="B1443" s="16" t="s">
        <v>62</v>
      </c>
      <c r="C1443" s="16">
        <v>2025</v>
      </c>
      <c r="D1443" s="16" t="s">
        <v>39</v>
      </c>
      <c r="E1443" s="16" t="s">
        <v>31</v>
      </c>
      <c r="F1443" s="16" t="s">
        <v>33</v>
      </c>
      <c r="G1443" s="16">
        <v>39</v>
      </c>
      <c r="H1443" s="16">
        <v>5252</v>
      </c>
      <c r="I1443" s="16">
        <v>516.79999999999995</v>
      </c>
      <c r="J1443" s="19">
        <v>0.80400000000000005</v>
      </c>
      <c r="K1443" s="16">
        <v>77.3</v>
      </c>
      <c r="L1443" s="19">
        <v>0.85599999999999998</v>
      </c>
      <c r="M1443" s="19">
        <v>1.4999999999999999E-2</v>
      </c>
      <c r="N1443" s="21">
        <v>70350.11</v>
      </c>
      <c r="O1443" s="21">
        <v>44056.67</v>
      </c>
      <c r="P1443" s="26">
        <v>26293.439999999999</v>
      </c>
    </row>
    <row r="1444" spans="1:16" x14ac:dyDescent="0.3">
      <c r="A1444" s="25">
        <v>1443</v>
      </c>
      <c r="B1444" s="16" t="s">
        <v>62</v>
      </c>
      <c r="C1444" s="16">
        <v>2025</v>
      </c>
      <c r="D1444" s="16" t="s">
        <v>39</v>
      </c>
      <c r="E1444" s="16" t="s">
        <v>35</v>
      </c>
      <c r="F1444" s="16" t="s">
        <v>33</v>
      </c>
      <c r="G1444" s="16">
        <v>69</v>
      </c>
      <c r="H1444" s="16">
        <v>8495</v>
      </c>
      <c r="I1444" s="16">
        <v>492.3</v>
      </c>
      <c r="J1444" s="19">
        <v>0.85</v>
      </c>
      <c r="K1444" s="16">
        <v>85.1</v>
      </c>
      <c r="L1444" s="19">
        <v>0.96</v>
      </c>
      <c r="M1444" s="19">
        <v>4.3999999999999997E-2</v>
      </c>
      <c r="N1444" s="21">
        <v>99392.46</v>
      </c>
      <c r="O1444" s="21">
        <v>70992.289999999994</v>
      </c>
      <c r="P1444" s="26">
        <v>28400.17</v>
      </c>
    </row>
    <row r="1445" spans="1:16" x14ac:dyDescent="0.3">
      <c r="A1445" s="25">
        <v>1444</v>
      </c>
      <c r="B1445" s="16" t="s">
        <v>62</v>
      </c>
      <c r="C1445" s="16">
        <v>2025</v>
      </c>
      <c r="D1445" s="16" t="s">
        <v>39</v>
      </c>
      <c r="E1445" s="16" t="s">
        <v>27</v>
      </c>
      <c r="F1445" s="16" t="s">
        <v>36</v>
      </c>
      <c r="G1445" s="16">
        <v>67</v>
      </c>
      <c r="H1445" s="16">
        <v>9483</v>
      </c>
      <c r="I1445" s="16">
        <v>894.2</v>
      </c>
      <c r="J1445" s="19">
        <v>0.76</v>
      </c>
      <c r="K1445" s="16">
        <v>68.7</v>
      </c>
      <c r="L1445" s="19">
        <v>0.95699999999999996</v>
      </c>
      <c r="M1445" s="19">
        <v>3.2000000000000001E-2</v>
      </c>
      <c r="N1445" s="21">
        <v>99903.35</v>
      </c>
      <c r="O1445" s="21">
        <v>74538.19</v>
      </c>
      <c r="P1445" s="26">
        <v>25365.16</v>
      </c>
    </row>
    <row r="1446" spans="1:16" x14ac:dyDescent="0.3">
      <c r="A1446" s="25">
        <v>1445</v>
      </c>
      <c r="B1446" s="16" t="s">
        <v>62</v>
      </c>
      <c r="C1446" s="16">
        <v>2025</v>
      </c>
      <c r="D1446" s="16" t="s">
        <v>39</v>
      </c>
      <c r="E1446" s="16" t="s">
        <v>34</v>
      </c>
      <c r="F1446" s="16" t="s">
        <v>36</v>
      </c>
      <c r="G1446" s="16">
        <v>60</v>
      </c>
      <c r="H1446" s="16">
        <v>9100</v>
      </c>
      <c r="I1446" s="16">
        <v>849.8</v>
      </c>
      <c r="J1446" s="19">
        <v>0.61199999999999999</v>
      </c>
      <c r="K1446" s="16">
        <v>82</v>
      </c>
      <c r="L1446" s="19">
        <v>1</v>
      </c>
      <c r="M1446" s="19">
        <v>4.8000000000000001E-2</v>
      </c>
      <c r="N1446" s="21">
        <v>84264.83</v>
      </c>
      <c r="O1446" s="21">
        <v>62727.75</v>
      </c>
      <c r="P1446" s="26">
        <v>21537.08</v>
      </c>
    </row>
    <row r="1447" spans="1:16" x14ac:dyDescent="0.3">
      <c r="A1447" s="25">
        <v>1446</v>
      </c>
      <c r="B1447" s="16" t="s">
        <v>62</v>
      </c>
      <c r="C1447" s="16">
        <v>2025</v>
      </c>
      <c r="D1447" s="16" t="s">
        <v>39</v>
      </c>
      <c r="E1447" s="16" t="s">
        <v>34</v>
      </c>
      <c r="F1447" s="16" t="s">
        <v>37</v>
      </c>
      <c r="G1447" s="16">
        <v>49</v>
      </c>
      <c r="H1447" s="16">
        <v>6248</v>
      </c>
      <c r="I1447" s="16">
        <v>683.2</v>
      </c>
      <c r="J1447" s="19">
        <v>0.54800000000000004</v>
      </c>
      <c r="K1447" s="16">
        <v>70.7</v>
      </c>
      <c r="L1447" s="19">
        <v>0.93100000000000005</v>
      </c>
      <c r="M1447" s="19">
        <v>2.4E-2</v>
      </c>
      <c r="N1447" s="21">
        <v>61196.81</v>
      </c>
      <c r="O1447" s="21">
        <v>43216.4</v>
      </c>
      <c r="P1447" s="26">
        <v>17980.41</v>
      </c>
    </row>
    <row r="1448" spans="1:16" x14ac:dyDescent="0.3">
      <c r="A1448" s="25">
        <v>1447</v>
      </c>
      <c r="B1448" s="16" t="s">
        <v>62</v>
      </c>
      <c r="C1448" s="16">
        <v>2025</v>
      </c>
      <c r="D1448" s="16" t="s">
        <v>39</v>
      </c>
      <c r="E1448" s="16" t="s">
        <v>31</v>
      </c>
      <c r="F1448" s="16" t="s">
        <v>37</v>
      </c>
      <c r="G1448" s="16">
        <v>49</v>
      </c>
      <c r="H1448" s="16">
        <v>5907</v>
      </c>
      <c r="I1448" s="16">
        <v>651.1</v>
      </c>
      <c r="J1448" s="19">
        <v>0.67900000000000005</v>
      </c>
      <c r="K1448" s="16">
        <v>68.7</v>
      </c>
      <c r="L1448" s="19">
        <v>0.92800000000000005</v>
      </c>
      <c r="M1448" s="19">
        <v>2.1000000000000001E-2</v>
      </c>
      <c r="N1448" s="21">
        <v>70265.3</v>
      </c>
      <c r="O1448" s="21">
        <v>44528.99</v>
      </c>
      <c r="P1448" s="26">
        <v>25736.31</v>
      </c>
    </row>
    <row r="1449" spans="1:16" x14ac:dyDescent="0.3">
      <c r="A1449" s="25">
        <v>1448</v>
      </c>
      <c r="B1449" s="16" t="s">
        <v>62</v>
      </c>
      <c r="C1449" s="16">
        <v>2025</v>
      </c>
      <c r="D1449" s="16" t="s">
        <v>40</v>
      </c>
      <c r="E1449" s="16" t="s">
        <v>30</v>
      </c>
      <c r="F1449" s="16" t="s">
        <v>28</v>
      </c>
      <c r="G1449" s="16">
        <v>42</v>
      </c>
      <c r="H1449" s="16">
        <v>5808</v>
      </c>
      <c r="I1449" s="16">
        <v>445.4</v>
      </c>
      <c r="J1449" s="19">
        <v>0.80100000000000005</v>
      </c>
      <c r="K1449" s="16">
        <v>96.2</v>
      </c>
      <c r="L1449" s="19">
        <v>0.872</v>
      </c>
      <c r="M1449" s="19">
        <v>0.03</v>
      </c>
      <c r="N1449" s="21">
        <v>58237.48</v>
      </c>
      <c r="O1449" s="21">
        <v>38298.550000000003</v>
      </c>
      <c r="P1449" s="26">
        <v>19938.93</v>
      </c>
    </row>
    <row r="1450" spans="1:16" x14ac:dyDescent="0.3">
      <c r="A1450" s="25">
        <v>1449</v>
      </c>
      <c r="B1450" s="16" t="s">
        <v>62</v>
      </c>
      <c r="C1450" s="16">
        <v>2025</v>
      </c>
      <c r="D1450" s="16" t="s">
        <v>40</v>
      </c>
      <c r="E1450" s="16" t="s">
        <v>31</v>
      </c>
      <c r="F1450" s="16" t="s">
        <v>28</v>
      </c>
      <c r="G1450" s="16">
        <v>26</v>
      </c>
      <c r="H1450" s="16">
        <v>3663</v>
      </c>
      <c r="I1450" s="16">
        <v>391.4</v>
      </c>
      <c r="J1450" s="19">
        <v>0.69299999999999995</v>
      </c>
      <c r="K1450" s="16">
        <v>78</v>
      </c>
      <c r="L1450" s="19">
        <v>0.97299999999999998</v>
      </c>
      <c r="M1450" s="19">
        <v>4.4999999999999998E-2</v>
      </c>
      <c r="N1450" s="21">
        <v>25550.39</v>
      </c>
      <c r="O1450" s="21">
        <v>16829.88</v>
      </c>
      <c r="P1450" s="26">
        <v>8720.51</v>
      </c>
    </row>
    <row r="1451" spans="1:16" x14ac:dyDescent="0.3">
      <c r="A1451" s="25">
        <v>1450</v>
      </c>
      <c r="B1451" s="16" t="s">
        <v>62</v>
      </c>
      <c r="C1451" s="16">
        <v>2025</v>
      </c>
      <c r="D1451" s="16" t="s">
        <v>40</v>
      </c>
      <c r="E1451" s="16" t="s">
        <v>31</v>
      </c>
      <c r="F1451" s="16" t="s">
        <v>29</v>
      </c>
      <c r="G1451" s="16">
        <v>62</v>
      </c>
      <c r="H1451" s="16">
        <v>10261</v>
      </c>
      <c r="I1451" s="16">
        <v>281.8</v>
      </c>
      <c r="J1451" s="19">
        <v>0.69399999999999995</v>
      </c>
      <c r="K1451" s="16">
        <v>78.8</v>
      </c>
      <c r="L1451" s="19">
        <v>0.80600000000000005</v>
      </c>
      <c r="M1451" s="19">
        <v>3.4000000000000002E-2</v>
      </c>
      <c r="N1451" s="21">
        <v>65212.92</v>
      </c>
      <c r="O1451" s="21">
        <v>41455.53</v>
      </c>
      <c r="P1451" s="26">
        <v>23757.39</v>
      </c>
    </row>
    <row r="1452" spans="1:16" x14ac:dyDescent="0.3">
      <c r="A1452" s="25">
        <v>1451</v>
      </c>
      <c r="B1452" s="16" t="s">
        <v>62</v>
      </c>
      <c r="C1452" s="16">
        <v>2025</v>
      </c>
      <c r="D1452" s="16" t="s">
        <v>40</v>
      </c>
      <c r="E1452" s="16" t="s">
        <v>35</v>
      </c>
      <c r="F1452" s="16" t="s">
        <v>29</v>
      </c>
      <c r="G1452" s="16">
        <v>43</v>
      </c>
      <c r="H1452" s="16">
        <v>5321</v>
      </c>
      <c r="I1452" s="16">
        <v>279.3</v>
      </c>
      <c r="J1452" s="19">
        <v>0.63700000000000001</v>
      </c>
      <c r="K1452" s="16">
        <v>83.6</v>
      </c>
      <c r="L1452" s="19">
        <v>0.85099999999999998</v>
      </c>
      <c r="M1452" s="19">
        <v>2.1000000000000001E-2</v>
      </c>
      <c r="N1452" s="21">
        <v>52313.06</v>
      </c>
      <c r="O1452" s="21">
        <v>37838.61</v>
      </c>
      <c r="P1452" s="26">
        <v>14474.45</v>
      </c>
    </row>
    <row r="1453" spans="1:16" x14ac:dyDescent="0.3">
      <c r="A1453" s="25">
        <v>1452</v>
      </c>
      <c r="B1453" s="16" t="s">
        <v>62</v>
      </c>
      <c r="C1453" s="16">
        <v>2025</v>
      </c>
      <c r="D1453" s="16" t="s">
        <v>40</v>
      </c>
      <c r="E1453" s="16" t="s">
        <v>32</v>
      </c>
      <c r="F1453" s="16" t="s">
        <v>33</v>
      </c>
      <c r="G1453" s="16">
        <v>36</v>
      </c>
      <c r="H1453" s="16">
        <v>4426</v>
      </c>
      <c r="I1453" s="16">
        <v>415.5</v>
      </c>
      <c r="J1453" s="19">
        <v>0.74399999999999999</v>
      </c>
      <c r="K1453" s="16">
        <v>82.2</v>
      </c>
      <c r="L1453" s="19">
        <v>0.81299999999999994</v>
      </c>
      <c r="M1453" s="19">
        <v>3.5000000000000003E-2</v>
      </c>
      <c r="N1453" s="21">
        <v>47482.74</v>
      </c>
      <c r="O1453" s="21">
        <v>36206.6</v>
      </c>
      <c r="P1453" s="26">
        <v>11276.14</v>
      </c>
    </row>
    <row r="1454" spans="1:16" x14ac:dyDescent="0.3">
      <c r="A1454" s="25">
        <v>1453</v>
      </c>
      <c r="B1454" s="16" t="s">
        <v>62</v>
      </c>
      <c r="C1454" s="16">
        <v>2025</v>
      </c>
      <c r="D1454" s="16" t="s">
        <v>40</v>
      </c>
      <c r="E1454" s="16" t="s">
        <v>27</v>
      </c>
      <c r="F1454" s="16" t="s">
        <v>33</v>
      </c>
      <c r="G1454" s="16">
        <v>79</v>
      </c>
      <c r="H1454" s="16">
        <v>9706</v>
      </c>
      <c r="I1454" s="16">
        <v>470.5</v>
      </c>
      <c r="J1454" s="19">
        <v>0.66700000000000004</v>
      </c>
      <c r="K1454" s="16">
        <v>78.3</v>
      </c>
      <c r="L1454" s="19">
        <v>0.91</v>
      </c>
      <c r="M1454" s="19">
        <v>0.04</v>
      </c>
      <c r="N1454" s="21">
        <v>106104.92</v>
      </c>
      <c r="O1454" s="21">
        <v>82243.429999999993</v>
      </c>
      <c r="P1454" s="26">
        <v>23861.49</v>
      </c>
    </row>
    <row r="1455" spans="1:16" x14ac:dyDescent="0.3">
      <c r="A1455" s="25">
        <v>1454</v>
      </c>
      <c r="B1455" s="16" t="s">
        <v>62</v>
      </c>
      <c r="C1455" s="16">
        <v>2025</v>
      </c>
      <c r="D1455" s="16" t="s">
        <v>40</v>
      </c>
      <c r="E1455" s="16" t="s">
        <v>30</v>
      </c>
      <c r="F1455" s="16" t="s">
        <v>33</v>
      </c>
      <c r="G1455" s="16">
        <v>21</v>
      </c>
      <c r="H1455" s="16">
        <v>3054</v>
      </c>
      <c r="I1455" s="16">
        <v>526.29999999999995</v>
      </c>
      <c r="J1455" s="19">
        <v>0.80900000000000005</v>
      </c>
      <c r="K1455" s="16">
        <v>88.3</v>
      </c>
      <c r="L1455" s="19">
        <v>0.91900000000000004</v>
      </c>
      <c r="M1455" s="19">
        <v>1.4E-2</v>
      </c>
      <c r="N1455" s="21">
        <v>34657.03</v>
      </c>
      <c r="O1455" s="21">
        <v>23780.22</v>
      </c>
      <c r="P1455" s="26">
        <v>10876.81</v>
      </c>
    </row>
    <row r="1456" spans="1:16" x14ac:dyDescent="0.3">
      <c r="A1456" s="25">
        <v>1455</v>
      </c>
      <c r="B1456" s="16" t="s">
        <v>62</v>
      </c>
      <c r="C1456" s="16">
        <v>2025</v>
      </c>
      <c r="D1456" s="16" t="s">
        <v>40</v>
      </c>
      <c r="E1456" s="16" t="s">
        <v>31</v>
      </c>
      <c r="F1456" s="16" t="s">
        <v>33</v>
      </c>
      <c r="G1456" s="16">
        <v>60</v>
      </c>
      <c r="H1456" s="16">
        <v>9878</v>
      </c>
      <c r="I1456" s="16">
        <v>496.7</v>
      </c>
      <c r="J1456" s="19">
        <v>0.72799999999999998</v>
      </c>
      <c r="K1456" s="16">
        <v>92.1</v>
      </c>
      <c r="L1456" s="19">
        <v>0.86199999999999999</v>
      </c>
      <c r="M1456" s="19">
        <v>2.8000000000000001E-2</v>
      </c>
      <c r="N1456" s="21">
        <v>70914.05</v>
      </c>
      <c r="O1456" s="21">
        <v>53889.91</v>
      </c>
      <c r="P1456" s="26">
        <v>17024.14</v>
      </c>
    </row>
    <row r="1457" spans="1:16" x14ac:dyDescent="0.3">
      <c r="A1457" s="25">
        <v>1456</v>
      </c>
      <c r="B1457" s="16" t="s">
        <v>62</v>
      </c>
      <c r="C1457" s="16">
        <v>2025</v>
      </c>
      <c r="D1457" s="16" t="s">
        <v>40</v>
      </c>
      <c r="E1457" s="16" t="s">
        <v>30</v>
      </c>
      <c r="F1457" s="16" t="s">
        <v>36</v>
      </c>
      <c r="G1457" s="16">
        <v>34</v>
      </c>
      <c r="H1457" s="16">
        <v>4309</v>
      </c>
      <c r="I1457" s="16">
        <v>905.1</v>
      </c>
      <c r="J1457" s="19">
        <v>0.745</v>
      </c>
      <c r="K1457" s="16">
        <v>77.3</v>
      </c>
      <c r="L1457" s="19">
        <v>0.91900000000000004</v>
      </c>
      <c r="M1457" s="19">
        <v>4.2999999999999997E-2</v>
      </c>
      <c r="N1457" s="21">
        <v>51555.39</v>
      </c>
      <c r="O1457" s="21">
        <v>36888.51</v>
      </c>
      <c r="P1457" s="26">
        <v>14666.88</v>
      </c>
    </row>
    <row r="1458" spans="1:16" x14ac:dyDescent="0.3">
      <c r="A1458" s="25">
        <v>1457</v>
      </c>
      <c r="B1458" s="16" t="s">
        <v>62</v>
      </c>
      <c r="C1458" s="16">
        <v>2025</v>
      </c>
      <c r="D1458" s="16" t="s">
        <v>40</v>
      </c>
      <c r="E1458" s="16" t="s">
        <v>31</v>
      </c>
      <c r="F1458" s="16" t="s">
        <v>36</v>
      </c>
      <c r="G1458" s="16">
        <v>61</v>
      </c>
      <c r="H1458" s="16">
        <v>8391</v>
      </c>
      <c r="I1458" s="16">
        <v>977.8</v>
      </c>
      <c r="J1458" s="19">
        <v>0.69699999999999995</v>
      </c>
      <c r="K1458" s="16">
        <v>84.5</v>
      </c>
      <c r="L1458" s="19">
        <v>0.82599999999999996</v>
      </c>
      <c r="M1458" s="19">
        <v>2.3E-2</v>
      </c>
      <c r="N1458" s="21">
        <v>67865.87</v>
      </c>
      <c r="O1458" s="21">
        <v>43365.27</v>
      </c>
      <c r="P1458" s="26">
        <v>24500.6</v>
      </c>
    </row>
    <row r="1459" spans="1:16" x14ac:dyDescent="0.3">
      <c r="A1459" s="25">
        <v>1458</v>
      </c>
      <c r="B1459" s="16" t="s">
        <v>62</v>
      </c>
      <c r="C1459" s="16">
        <v>2025</v>
      </c>
      <c r="D1459" s="16" t="s">
        <v>40</v>
      </c>
      <c r="E1459" s="16" t="s">
        <v>30</v>
      </c>
      <c r="F1459" s="16" t="s">
        <v>37</v>
      </c>
      <c r="G1459" s="16">
        <v>72</v>
      </c>
      <c r="H1459" s="16">
        <v>8998</v>
      </c>
      <c r="I1459" s="16">
        <v>666.8</v>
      </c>
      <c r="J1459" s="19">
        <v>0.63300000000000001</v>
      </c>
      <c r="K1459" s="16">
        <v>83.1</v>
      </c>
      <c r="L1459" s="19">
        <v>0.89100000000000001</v>
      </c>
      <c r="M1459" s="19">
        <v>2.5000000000000001E-2</v>
      </c>
      <c r="N1459" s="21">
        <v>106529.42</v>
      </c>
      <c r="O1459" s="21">
        <v>79260.320000000007</v>
      </c>
      <c r="P1459" s="26">
        <v>27269.1</v>
      </c>
    </row>
    <row r="1460" spans="1:16" x14ac:dyDescent="0.3">
      <c r="A1460" s="25">
        <v>1459</v>
      </c>
      <c r="B1460" s="16" t="s">
        <v>62</v>
      </c>
      <c r="C1460" s="16">
        <v>2025</v>
      </c>
      <c r="D1460" s="16" t="s">
        <v>40</v>
      </c>
      <c r="E1460" s="16" t="s">
        <v>31</v>
      </c>
      <c r="F1460" s="16" t="s">
        <v>37</v>
      </c>
      <c r="G1460" s="16">
        <v>45</v>
      </c>
      <c r="H1460" s="16">
        <v>5794</v>
      </c>
      <c r="I1460" s="16">
        <v>689.7</v>
      </c>
      <c r="J1460" s="19">
        <v>0.624</v>
      </c>
      <c r="K1460" s="16">
        <v>89.3</v>
      </c>
      <c r="L1460" s="19">
        <v>0.84799999999999998</v>
      </c>
      <c r="M1460" s="19">
        <v>2.4E-2</v>
      </c>
      <c r="N1460" s="21">
        <v>56975.01</v>
      </c>
      <c r="O1460" s="21">
        <v>42028.12</v>
      </c>
      <c r="P1460" s="26">
        <v>14946.89</v>
      </c>
    </row>
    <row r="1461" spans="1:16" x14ac:dyDescent="0.3">
      <c r="A1461" s="25">
        <v>1460</v>
      </c>
      <c r="B1461" s="16" t="s">
        <v>62</v>
      </c>
      <c r="C1461" s="16">
        <v>2025</v>
      </c>
      <c r="D1461" s="16" t="s">
        <v>40</v>
      </c>
      <c r="E1461" s="16" t="s">
        <v>35</v>
      </c>
      <c r="F1461" s="16" t="s">
        <v>37</v>
      </c>
      <c r="G1461" s="16">
        <v>52</v>
      </c>
      <c r="H1461" s="16">
        <v>8033</v>
      </c>
      <c r="I1461" s="16">
        <v>692.7</v>
      </c>
      <c r="J1461" s="19">
        <v>0.72899999999999998</v>
      </c>
      <c r="K1461" s="16">
        <v>79.599999999999994</v>
      </c>
      <c r="L1461" s="19">
        <v>0.88800000000000001</v>
      </c>
      <c r="M1461" s="19">
        <v>2.1999999999999999E-2</v>
      </c>
      <c r="N1461" s="21">
        <v>68086.86</v>
      </c>
      <c r="O1461" s="21">
        <v>47372.21</v>
      </c>
      <c r="P1461" s="26">
        <v>20714.650000000001</v>
      </c>
    </row>
    <row r="1462" spans="1:16" x14ac:dyDescent="0.3">
      <c r="A1462" s="25">
        <v>1461</v>
      </c>
      <c r="B1462" s="16" t="s">
        <v>62</v>
      </c>
      <c r="C1462" s="16">
        <v>2025</v>
      </c>
      <c r="D1462" s="16" t="s">
        <v>41</v>
      </c>
      <c r="E1462" s="16" t="s">
        <v>32</v>
      </c>
      <c r="F1462" s="16" t="s">
        <v>28</v>
      </c>
      <c r="G1462" s="16">
        <v>76</v>
      </c>
      <c r="H1462" s="16">
        <v>9912</v>
      </c>
      <c r="I1462" s="16">
        <v>380.5</v>
      </c>
      <c r="J1462" s="19">
        <v>0.81899999999999995</v>
      </c>
      <c r="K1462" s="16">
        <v>86.4</v>
      </c>
      <c r="L1462" s="19">
        <v>0.94699999999999995</v>
      </c>
      <c r="M1462" s="19">
        <v>1.2999999999999999E-2</v>
      </c>
      <c r="N1462" s="21">
        <v>143950.13</v>
      </c>
      <c r="O1462" s="21">
        <v>98045.759999999995</v>
      </c>
      <c r="P1462" s="26">
        <v>45904.37</v>
      </c>
    </row>
    <row r="1463" spans="1:16" x14ac:dyDescent="0.3">
      <c r="A1463" s="25">
        <v>1462</v>
      </c>
      <c r="B1463" s="16" t="s">
        <v>62</v>
      </c>
      <c r="C1463" s="16">
        <v>2025</v>
      </c>
      <c r="D1463" s="16" t="s">
        <v>41</v>
      </c>
      <c r="E1463" s="16" t="s">
        <v>27</v>
      </c>
      <c r="F1463" s="16" t="s">
        <v>28</v>
      </c>
      <c r="G1463" s="16">
        <v>39</v>
      </c>
      <c r="H1463" s="16">
        <v>5516</v>
      </c>
      <c r="I1463" s="16">
        <v>474.3</v>
      </c>
      <c r="J1463" s="19">
        <v>0.73699999999999999</v>
      </c>
      <c r="K1463" s="16">
        <v>87.9</v>
      </c>
      <c r="L1463" s="19">
        <v>0.95499999999999996</v>
      </c>
      <c r="M1463" s="19">
        <v>8.0000000000000002E-3</v>
      </c>
      <c r="N1463" s="21">
        <v>64864.75</v>
      </c>
      <c r="O1463" s="21">
        <v>48502.19</v>
      </c>
      <c r="P1463" s="26">
        <v>16362.56</v>
      </c>
    </row>
    <row r="1464" spans="1:16" x14ac:dyDescent="0.3">
      <c r="A1464" s="25">
        <v>1463</v>
      </c>
      <c r="B1464" s="16" t="s">
        <v>62</v>
      </c>
      <c r="C1464" s="16">
        <v>2025</v>
      </c>
      <c r="D1464" s="16" t="s">
        <v>41</v>
      </c>
      <c r="E1464" s="16" t="s">
        <v>30</v>
      </c>
      <c r="F1464" s="16" t="s">
        <v>28</v>
      </c>
      <c r="G1464" s="16">
        <v>19</v>
      </c>
      <c r="H1464" s="16">
        <v>2714</v>
      </c>
      <c r="I1464" s="16">
        <v>399.8</v>
      </c>
      <c r="J1464" s="19">
        <v>0.81</v>
      </c>
      <c r="K1464" s="16">
        <v>81.599999999999994</v>
      </c>
      <c r="L1464" s="19">
        <v>0.97199999999999998</v>
      </c>
      <c r="M1464" s="19">
        <v>1.4E-2</v>
      </c>
      <c r="N1464" s="21">
        <v>42789.4</v>
      </c>
      <c r="O1464" s="21">
        <v>30996.71</v>
      </c>
      <c r="P1464" s="26">
        <v>11792.69</v>
      </c>
    </row>
    <row r="1465" spans="1:16" x14ac:dyDescent="0.3">
      <c r="A1465" s="25">
        <v>1464</v>
      </c>
      <c r="B1465" s="16" t="s">
        <v>62</v>
      </c>
      <c r="C1465" s="16">
        <v>2025</v>
      </c>
      <c r="D1465" s="16" t="s">
        <v>41</v>
      </c>
      <c r="E1465" s="16" t="s">
        <v>35</v>
      </c>
      <c r="F1465" s="16" t="s">
        <v>28</v>
      </c>
      <c r="G1465" s="16">
        <v>6</v>
      </c>
      <c r="H1465" s="16">
        <v>857</v>
      </c>
      <c r="I1465" s="16">
        <v>368.6</v>
      </c>
      <c r="J1465" s="19">
        <v>0.80200000000000005</v>
      </c>
      <c r="K1465" s="16">
        <v>84.7</v>
      </c>
      <c r="L1465" s="19">
        <v>0.85599999999999998</v>
      </c>
      <c r="M1465" s="19">
        <v>0.01</v>
      </c>
      <c r="N1465" s="21">
        <v>10391.5</v>
      </c>
      <c r="O1465" s="21">
        <v>7926.66</v>
      </c>
      <c r="P1465" s="26">
        <v>2464.84</v>
      </c>
    </row>
    <row r="1466" spans="1:16" x14ac:dyDescent="0.3">
      <c r="A1466" s="25">
        <v>1465</v>
      </c>
      <c r="B1466" s="16" t="s">
        <v>62</v>
      </c>
      <c r="C1466" s="16">
        <v>2025</v>
      </c>
      <c r="D1466" s="16" t="s">
        <v>41</v>
      </c>
      <c r="E1466" s="16" t="s">
        <v>30</v>
      </c>
      <c r="F1466" s="16" t="s">
        <v>29</v>
      </c>
      <c r="G1466" s="16">
        <v>54</v>
      </c>
      <c r="H1466" s="16">
        <v>8632</v>
      </c>
      <c r="I1466" s="16">
        <v>282</v>
      </c>
      <c r="J1466" s="19">
        <v>0.60299999999999998</v>
      </c>
      <c r="K1466" s="16">
        <v>92.7</v>
      </c>
      <c r="L1466" s="19">
        <v>0.91300000000000003</v>
      </c>
      <c r="M1466" s="19">
        <v>1.7999999999999999E-2</v>
      </c>
      <c r="N1466" s="21">
        <v>67052.37</v>
      </c>
      <c r="O1466" s="21">
        <v>48917.89</v>
      </c>
      <c r="P1466" s="26">
        <v>18134.48</v>
      </c>
    </row>
    <row r="1467" spans="1:16" x14ac:dyDescent="0.3">
      <c r="A1467" s="25">
        <v>1466</v>
      </c>
      <c r="B1467" s="16" t="s">
        <v>62</v>
      </c>
      <c r="C1467" s="16">
        <v>2025</v>
      </c>
      <c r="D1467" s="16" t="s">
        <v>41</v>
      </c>
      <c r="E1467" s="16" t="s">
        <v>31</v>
      </c>
      <c r="F1467" s="16" t="s">
        <v>29</v>
      </c>
      <c r="G1467" s="16">
        <v>48</v>
      </c>
      <c r="H1467" s="16">
        <v>7593</v>
      </c>
      <c r="I1467" s="16">
        <v>366.5</v>
      </c>
      <c r="J1467" s="19">
        <v>0.72799999999999998</v>
      </c>
      <c r="K1467" s="16">
        <v>77.7</v>
      </c>
      <c r="L1467" s="19">
        <v>0.91700000000000004</v>
      </c>
      <c r="M1467" s="19">
        <v>1.9E-2</v>
      </c>
      <c r="N1467" s="21">
        <v>83775.55</v>
      </c>
      <c r="O1467" s="21">
        <v>63574.400000000001</v>
      </c>
      <c r="P1467" s="26">
        <v>20201.150000000001</v>
      </c>
    </row>
    <row r="1468" spans="1:16" x14ac:dyDescent="0.3">
      <c r="A1468" s="25">
        <v>1467</v>
      </c>
      <c r="B1468" s="16" t="s">
        <v>62</v>
      </c>
      <c r="C1468" s="16">
        <v>2025</v>
      </c>
      <c r="D1468" s="16" t="s">
        <v>41</v>
      </c>
      <c r="E1468" s="16" t="s">
        <v>35</v>
      </c>
      <c r="F1468" s="16" t="s">
        <v>29</v>
      </c>
      <c r="G1468" s="16">
        <v>66</v>
      </c>
      <c r="H1468" s="16">
        <v>11124</v>
      </c>
      <c r="I1468" s="16">
        <v>286.8</v>
      </c>
      <c r="J1468" s="19">
        <v>0.56799999999999995</v>
      </c>
      <c r="K1468" s="16">
        <v>84.8</v>
      </c>
      <c r="L1468" s="19">
        <v>0.871</v>
      </c>
      <c r="M1468" s="19">
        <v>3.9E-2</v>
      </c>
      <c r="N1468" s="21">
        <v>110290.5</v>
      </c>
      <c r="O1468" s="21">
        <v>79258.44</v>
      </c>
      <c r="P1468" s="26">
        <v>31032.06</v>
      </c>
    </row>
    <row r="1469" spans="1:16" x14ac:dyDescent="0.3">
      <c r="A1469" s="25">
        <v>1468</v>
      </c>
      <c r="B1469" s="16" t="s">
        <v>62</v>
      </c>
      <c r="C1469" s="16">
        <v>2025</v>
      </c>
      <c r="D1469" s="16" t="s">
        <v>41</v>
      </c>
      <c r="E1469" s="16" t="s">
        <v>32</v>
      </c>
      <c r="F1469" s="16" t="s">
        <v>33</v>
      </c>
      <c r="G1469" s="16">
        <v>49</v>
      </c>
      <c r="H1469" s="16">
        <v>6034</v>
      </c>
      <c r="I1469" s="16">
        <v>388.7</v>
      </c>
      <c r="J1469" s="19">
        <v>0.67300000000000004</v>
      </c>
      <c r="K1469" s="16">
        <v>86</v>
      </c>
      <c r="L1469" s="19">
        <v>0.89400000000000002</v>
      </c>
      <c r="M1469" s="19">
        <v>3.1E-2</v>
      </c>
      <c r="N1469" s="21">
        <v>77995.73</v>
      </c>
      <c r="O1469" s="21">
        <v>57322.57</v>
      </c>
      <c r="P1469" s="26">
        <v>20673.16</v>
      </c>
    </row>
    <row r="1470" spans="1:16" x14ac:dyDescent="0.3">
      <c r="A1470" s="25">
        <v>1469</v>
      </c>
      <c r="B1470" s="16" t="s">
        <v>62</v>
      </c>
      <c r="C1470" s="16">
        <v>2025</v>
      </c>
      <c r="D1470" s="16" t="s">
        <v>41</v>
      </c>
      <c r="E1470" s="16" t="s">
        <v>30</v>
      </c>
      <c r="F1470" s="16" t="s">
        <v>33</v>
      </c>
      <c r="G1470" s="16">
        <v>31</v>
      </c>
      <c r="H1470" s="16">
        <v>4771</v>
      </c>
      <c r="I1470" s="16">
        <v>545.4</v>
      </c>
      <c r="J1470" s="19">
        <v>0.79300000000000004</v>
      </c>
      <c r="K1470" s="16">
        <v>77.7</v>
      </c>
      <c r="L1470" s="19">
        <v>0.91400000000000003</v>
      </c>
      <c r="M1470" s="19">
        <v>1.6E-2</v>
      </c>
      <c r="N1470" s="21">
        <v>60137.24</v>
      </c>
      <c r="O1470" s="21">
        <v>41392.14</v>
      </c>
      <c r="P1470" s="26">
        <v>18745.099999999999</v>
      </c>
    </row>
    <row r="1471" spans="1:16" x14ac:dyDescent="0.3">
      <c r="A1471" s="25">
        <v>1470</v>
      </c>
      <c r="B1471" s="16" t="s">
        <v>62</v>
      </c>
      <c r="C1471" s="16">
        <v>2025</v>
      </c>
      <c r="D1471" s="16" t="s">
        <v>41</v>
      </c>
      <c r="E1471" s="16" t="s">
        <v>32</v>
      </c>
      <c r="F1471" s="16" t="s">
        <v>36</v>
      </c>
      <c r="G1471" s="16">
        <v>36</v>
      </c>
      <c r="H1471" s="16">
        <v>4789</v>
      </c>
      <c r="I1471" s="16">
        <v>894.7</v>
      </c>
      <c r="J1471" s="19">
        <v>0.69899999999999995</v>
      </c>
      <c r="K1471" s="16">
        <v>82.6</v>
      </c>
      <c r="L1471" s="19">
        <v>0.79500000000000004</v>
      </c>
      <c r="M1471" s="19">
        <v>1.7999999999999999E-2</v>
      </c>
      <c r="N1471" s="21">
        <v>66011.38</v>
      </c>
      <c r="O1471" s="21">
        <v>46140.13</v>
      </c>
      <c r="P1471" s="26">
        <v>19871.25</v>
      </c>
    </row>
    <row r="1472" spans="1:16" x14ac:dyDescent="0.3">
      <c r="A1472" s="25">
        <v>1471</v>
      </c>
      <c r="B1472" s="16" t="s">
        <v>62</v>
      </c>
      <c r="C1472" s="16">
        <v>2025</v>
      </c>
      <c r="D1472" s="16" t="s">
        <v>41</v>
      </c>
      <c r="E1472" s="16" t="s">
        <v>34</v>
      </c>
      <c r="F1472" s="16" t="s">
        <v>36</v>
      </c>
      <c r="G1472" s="16">
        <v>61</v>
      </c>
      <c r="H1472" s="16">
        <v>9718</v>
      </c>
      <c r="I1472" s="16">
        <v>767.7</v>
      </c>
      <c r="J1472" s="19">
        <v>0.69099999999999995</v>
      </c>
      <c r="K1472" s="16">
        <v>72.599999999999994</v>
      </c>
      <c r="L1472" s="19">
        <v>0.9</v>
      </c>
      <c r="M1472" s="19">
        <v>1.9E-2</v>
      </c>
      <c r="N1472" s="21">
        <v>70370.61</v>
      </c>
      <c r="O1472" s="21">
        <v>49580.49</v>
      </c>
      <c r="P1472" s="26">
        <v>20790.12</v>
      </c>
    </row>
    <row r="1473" spans="1:16" x14ac:dyDescent="0.3">
      <c r="A1473" s="25">
        <v>1472</v>
      </c>
      <c r="B1473" s="16" t="s">
        <v>62</v>
      </c>
      <c r="C1473" s="16">
        <v>2025</v>
      </c>
      <c r="D1473" s="16" t="s">
        <v>41</v>
      </c>
      <c r="E1473" s="16" t="s">
        <v>31</v>
      </c>
      <c r="F1473" s="16" t="s">
        <v>36</v>
      </c>
      <c r="G1473" s="16">
        <v>35</v>
      </c>
      <c r="H1473" s="16">
        <v>5765</v>
      </c>
      <c r="I1473" s="16">
        <v>828.2</v>
      </c>
      <c r="J1473" s="19">
        <v>0.626</v>
      </c>
      <c r="K1473" s="16">
        <v>75.5</v>
      </c>
      <c r="L1473" s="19">
        <v>0.92</v>
      </c>
      <c r="M1473" s="19">
        <v>3.7999999999999999E-2</v>
      </c>
      <c r="N1473" s="21">
        <v>62187.46</v>
      </c>
      <c r="O1473" s="21">
        <v>47497.85</v>
      </c>
      <c r="P1473" s="26">
        <v>14689.61</v>
      </c>
    </row>
    <row r="1474" spans="1:16" x14ac:dyDescent="0.3">
      <c r="A1474" s="25">
        <v>1473</v>
      </c>
      <c r="B1474" s="16" t="s">
        <v>62</v>
      </c>
      <c r="C1474" s="16">
        <v>2025</v>
      </c>
      <c r="D1474" s="16" t="s">
        <v>41</v>
      </c>
      <c r="E1474" s="16" t="s">
        <v>35</v>
      </c>
      <c r="F1474" s="16" t="s">
        <v>36</v>
      </c>
      <c r="G1474" s="16">
        <v>50</v>
      </c>
      <c r="H1474" s="16">
        <v>7196</v>
      </c>
      <c r="I1474" s="16">
        <v>904.3</v>
      </c>
      <c r="J1474" s="19">
        <v>0.66300000000000003</v>
      </c>
      <c r="K1474" s="16">
        <v>86.8</v>
      </c>
      <c r="L1474" s="19">
        <v>0.90700000000000003</v>
      </c>
      <c r="M1474" s="19">
        <v>2.3E-2</v>
      </c>
      <c r="N1474" s="21">
        <v>67700.91</v>
      </c>
      <c r="O1474" s="21">
        <v>49002.45</v>
      </c>
      <c r="P1474" s="26">
        <v>18698.46</v>
      </c>
    </row>
    <row r="1475" spans="1:16" x14ac:dyDescent="0.3">
      <c r="A1475" s="25">
        <v>1474</v>
      </c>
      <c r="B1475" s="16" t="s">
        <v>62</v>
      </c>
      <c r="C1475" s="16">
        <v>2025</v>
      </c>
      <c r="D1475" s="16" t="s">
        <v>41</v>
      </c>
      <c r="E1475" s="16" t="s">
        <v>27</v>
      </c>
      <c r="F1475" s="16" t="s">
        <v>37</v>
      </c>
      <c r="G1475" s="16">
        <v>32</v>
      </c>
      <c r="H1475" s="16">
        <v>3784</v>
      </c>
      <c r="I1475" s="16">
        <v>606.70000000000005</v>
      </c>
      <c r="J1475" s="19">
        <v>0.58299999999999996</v>
      </c>
      <c r="K1475" s="16">
        <v>85.2</v>
      </c>
      <c r="L1475" s="19">
        <v>0.95299999999999996</v>
      </c>
      <c r="M1475" s="19">
        <v>1.6E-2</v>
      </c>
      <c r="N1475" s="21">
        <v>47607.08</v>
      </c>
      <c r="O1475" s="21">
        <v>36577.019999999997</v>
      </c>
      <c r="P1475" s="26">
        <v>11030.06</v>
      </c>
    </row>
    <row r="1476" spans="1:16" x14ac:dyDescent="0.3">
      <c r="A1476" s="25">
        <v>1475</v>
      </c>
      <c r="B1476" s="16" t="s">
        <v>62</v>
      </c>
      <c r="C1476" s="16">
        <v>2025</v>
      </c>
      <c r="D1476" s="16" t="s">
        <v>41</v>
      </c>
      <c r="E1476" s="16" t="s">
        <v>34</v>
      </c>
      <c r="F1476" s="16" t="s">
        <v>37</v>
      </c>
      <c r="G1476" s="16">
        <v>52</v>
      </c>
      <c r="H1476" s="16">
        <v>8912</v>
      </c>
      <c r="I1476" s="16">
        <v>676.2</v>
      </c>
      <c r="J1476" s="19">
        <v>0.53500000000000003</v>
      </c>
      <c r="K1476" s="16">
        <v>89.3</v>
      </c>
      <c r="L1476" s="19">
        <v>0.91400000000000003</v>
      </c>
      <c r="M1476" s="19">
        <v>5.0000000000000001E-3</v>
      </c>
      <c r="N1476" s="21">
        <v>68366.59</v>
      </c>
      <c r="O1476" s="21">
        <v>45399.19</v>
      </c>
      <c r="P1476" s="26">
        <v>22967.4</v>
      </c>
    </row>
    <row r="1477" spans="1:16" x14ac:dyDescent="0.3">
      <c r="A1477" s="25">
        <v>1476</v>
      </c>
      <c r="B1477" s="16" t="s">
        <v>62</v>
      </c>
      <c r="C1477" s="16">
        <v>2025</v>
      </c>
      <c r="D1477" s="16" t="s">
        <v>41</v>
      </c>
      <c r="E1477" s="16" t="s">
        <v>35</v>
      </c>
      <c r="F1477" s="16" t="s">
        <v>37</v>
      </c>
      <c r="G1477" s="16">
        <v>21</v>
      </c>
      <c r="H1477" s="16">
        <v>3585</v>
      </c>
      <c r="I1477" s="16">
        <v>623.70000000000005</v>
      </c>
      <c r="J1477" s="19">
        <v>0.69599999999999995</v>
      </c>
      <c r="K1477" s="16">
        <v>79.3</v>
      </c>
      <c r="L1477" s="19">
        <v>0.90900000000000003</v>
      </c>
      <c r="M1477" s="19">
        <v>5.8000000000000003E-2</v>
      </c>
      <c r="N1477" s="21">
        <v>33718.959999999999</v>
      </c>
      <c r="O1477" s="21">
        <v>25266.7</v>
      </c>
      <c r="P1477" s="26">
        <v>8452.26</v>
      </c>
    </row>
    <row r="1478" spans="1:16" x14ac:dyDescent="0.3">
      <c r="A1478" s="25">
        <v>1477</v>
      </c>
      <c r="B1478" s="16" t="s">
        <v>63</v>
      </c>
      <c r="C1478" s="16">
        <v>2025</v>
      </c>
      <c r="D1478" s="16" t="s">
        <v>26</v>
      </c>
      <c r="E1478" s="16" t="s">
        <v>32</v>
      </c>
      <c r="F1478" s="16" t="s">
        <v>28</v>
      </c>
      <c r="G1478" s="16">
        <v>56</v>
      </c>
      <c r="H1478" s="16">
        <v>7952</v>
      </c>
      <c r="I1478" s="16">
        <v>437.6</v>
      </c>
      <c r="J1478" s="19">
        <v>0.77100000000000002</v>
      </c>
      <c r="K1478" s="16">
        <v>81.900000000000006</v>
      </c>
      <c r="L1478" s="19">
        <v>0.81200000000000006</v>
      </c>
      <c r="M1478" s="19">
        <v>0.03</v>
      </c>
      <c r="N1478" s="21">
        <v>78121.490000000005</v>
      </c>
      <c r="O1478" s="21">
        <v>58077.14</v>
      </c>
      <c r="P1478" s="26">
        <v>20044.349999999999</v>
      </c>
    </row>
    <row r="1479" spans="1:16" x14ac:dyDescent="0.3">
      <c r="A1479" s="25">
        <v>1478</v>
      </c>
      <c r="B1479" s="16" t="s">
        <v>63</v>
      </c>
      <c r="C1479" s="16">
        <v>2025</v>
      </c>
      <c r="D1479" s="16" t="s">
        <v>26</v>
      </c>
      <c r="E1479" s="16" t="s">
        <v>27</v>
      </c>
      <c r="F1479" s="16" t="s">
        <v>28</v>
      </c>
      <c r="G1479" s="16">
        <v>50</v>
      </c>
      <c r="H1479" s="16">
        <v>7200</v>
      </c>
      <c r="I1479" s="16">
        <v>363.6</v>
      </c>
      <c r="J1479" s="19">
        <v>0.77800000000000002</v>
      </c>
      <c r="K1479" s="16">
        <v>83.8</v>
      </c>
      <c r="L1479" s="19">
        <v>0.96399999999999997</v>
      </c>
      <c r="M1479" s="19">
        <v>0.02</v>
      </c>
      <c r="N1479" s="21">
        <v>58866.2</v>
      </c>
      <c r="O1479" s="21">
        <v>45259.46</v>
      </c>
      <c r="P1479" s="26">
        <v>13606.74</v>
      </c>
    </row>
    <row r="1480" spans="1:16" x14ac:dyDescent="0.3">
      <c r="A1480" s="25">
        <v>1479</v>
      </c>
      <c r="B1480" s="16" t="s">
        <v>63</v>
      </c>
      <c r="C1480" s="16">
        <v>2025</v>
      </c>
      <c r="D1480" s="16" t="s">
        <v>26</v>
      </c>
      <c r="E1480" s="16" t="s">
        <v>34</v>
      </c>
      <c r="F1480" s="16" t="s">
        <v>28</v>
      </c>
      <c r="G1480" s="16">
        <v>8</v>
      </c>
      <c r="H1480" s="16">
        <v>1178</v>
      </c>
      <c r="I1480" s="16">
        <v>420.7</v>
      </c>
      <c r="J1480" s="19">
        <v>0.82299999999999995</v>
      </c>
      <c r="K1480" s="16">
        <v>92.1</v>
      </c>
      <c r="L1480" s="19">
        <v>0.84899999999999998</v>
      </c>
      <c r="M1480" s="19">
        <v>3.4000000000000002E-2</v>
      </c>
      <c r="N1480" s="21">
        <v>9144.4699999999993</v>
      </c>
      <c r="O1480" s="21">
        <v>7033.26</v>
      </c>
      <c r="P1480" s="26">
        <v>2111.21</v>
      </c>
    </row>
    <row r="1481" spans="1:16" x14ac:dyDescent="0.3">
      <c r="A1481" s="25">
        <v>1480</v>
      </c>
      <c r="B1481" s="16" t="s">
        <v>63</v>
      </c>
      <c r="C1481" s="16">
        <v>2025</v>
      </c>
      <c r="D1481" s="16" t="s">
        <v>26</v>
      </c>
      <c r="E1481" s="16" t="s">
        <v>31</v>
      </c>
      <c r="F1481" s="16" t="s">
        <v>28</v>
      </c>
      <c r="G1481" s="16">
        <v>40</v>
      </c>
      <c r="H1481" s="16">
        <v>6496</v>
      </c>
      <c r="I1481" s="16">
        <v>438.6</v>
      </c>
      <c r="J1481" s="19">
        <v>0.78300000000000003</v>
      </c>
      <c r="K1481" s="16">
        <v>77.5</v>
      </c>
      <c r="L1481" s="19">
        <v>0.754</v>
      </c>
      <c r="M1481" s="19">
        <v>3.3000000000000002E-2</v>
      </c>
      <c r="N1481" s="21">
        <v>54082.27</v>
      </c>
      <c r="O1481" s="21">
        <v>34911.86</v>
      </c>
      <c r="P1481" s="26">
        <v>19170.41</v>
      </c>
    </row>
    <row r="1482" spans="1:16" x14ac:dyDescent="0.3">
      <c r="A1482" s="25">
        <v>1481</v>
      </c>
      <c r="B1482" s="16" t="s">
        <v>63</v>
      </c>
      <c r="C1482" s="16">
        <v>2025</v>
      </c>
      <c r="D1482" s="16" t="s">
        <v>26</v>
      </c>
      <c r="E1482" s="16" t="s">
        <v>35</v>
      </c>
      <c r="F1482" s="16" t="s">
        <v>28</v>
      </c>
      <c r="G1482" s="16">
        <v>49</v>
      </c>
      <c r="H1482" s="16">
        <v>7422</v>
      </c>
      <c r="I1482" s="16">
        <v>440.2</v>
      </c>
      <c r="J1482" s="19">
        <v>0.80300000000000005</v>
      </c>
      <c r="K1482" s="16">
        <v>81.400000000000006</v>
      </c>
      <c r="L1482" s="19">
        <v>0.81599999999999995</v>
      </c>
      <c r="M1482" s="19">
        <v>3.7999999999999999E-2</v>
      </c>
      <c r="N1482" s="21">
        <v>60199.54</v>
      </c>
      <c r="O1482" s="21">
        <v>37945.980000000003</v>
      </c>
      <c r="P1482" s="26">
        <v>22253.56</v>
      </c>
    </row>
    <row r="1483" spans="1:16" x14ac:dyDescent="0.3">
      <c r="A1483" s="25">
        <v>1482</v>
      </c>
      <c r="B1483" s="16" t="s">
        <v>63</v>
      </c>
      <c r="C1483" s="16">
        <v>2025</v>
      </c>
      <c r="D1483" s="16" t="s">
        <v>26</v>
      </c>
      <c r="E1483" s="16" t="s">
        <v>30</v>
      </c>
      <c r="F1483" s="16" t="s">
        <v>29</v>
      </c>
      <c r="G1483" s="16">
        <v>53</v>
      </c>
      <c r="H1483" s="16">
        <v>7958</v>
      </c>
      <c r="I1483" s="16">
        <v>329.9</v>
      </c>
      <c r="J1483" s="19">
        <v>0.70399999999999996</v>
      </c>
      <c r="K1483" s="16">
        <v>82.5</v>
      </c>
      <c r="L1483" s="19">
        <v>0.97199999999999998</v>
      </c>
      <c r="M1483" s="19">
        <v>1.7000000000000001E-2</v>
      </c>
      <c r="N1483" s="21">
        <v>77799.929999999993</v>
      </c>
      <c r="O1483" s="21">
        <v>57011.6</v>
      </c>
      <c r="P1483" s="26">
        <v>20788.330000000002</v>
      </c>
    </row>
    <row r="1484" spans="1:16" x14ac:dyDescent="0.3">
      <c r="A1484" s="25">
        <v>1483</v>
      </c>
      <c r="B1484" s="16" t="s">
        <v>63</v>
      </c>
      <c r="C1484" s="16">
        <v>2025</v>
      </c>
      <c r="D1484" s="16" t="s">
        <v>26</v>
      </c>
      <c r="E1484" s="16" t="s">
        <v>32</v>
      </c>
      <c r="F1484" s="16" t="s">
        <v>36</v>
      </c>
      <c r="G1484" s="16">
        <v>62</v>
      </c>
      <c r="H1484" s="16">
        <v>10202</v>
      </c>
      <c r="I1484" s="16">
        <v>914.8</v>
      </c>
      <c r="J1484" s="19">
        <v>0.63</v>
      </c>
      <c r="K1484" s="16">
        <v>84.8</v>
      </c>
      <c r="L1484" s="19">
        <v>0.92800000000000005</v>
      </c>
      <c r="M1484" s="19">
        <v>3.7999999999999999E-2</v>
      </c>
      <c r="N1484" s="21">
        <v>84511.22</v>
      </c>
      <c r="O1484" s="21">
        <v>63901.47</v>
      </c>
      <c r="P1484" s="26">
        <v>20609.75</v>
      </c>
    </row>
    <row r="1485" spans="1:16" x14ac:dyDescent="0.3">
      <c r="A1485" s="25">
        <v>1484</v>
      </c>
      <c r="B1485" s="16" t="s">
        <v>63</v>
      </c>
      <c r="C1485" s="16">
        <v>2025</v>
      </c>
      <c r="D1485" s="16" t="s">
        <v>26</v>
      </c>
      <c r="E1485" s="16" t="s">
        <v>34</v>
      </c>
      <c r="F1485" s="16" t="s">
        <v>36</v>
      </c>
      <c r="G1485" s="16">
        <v>35</v>
      </c>
      <c r="H1485" s="16">
        <v>5776</v>
      </c>
      <c r="I1485" s="16">
        <v>928.1</v>
      </c>
      <c r="J1485" s="19">
        <v>0.71299999999999997</v>
      </c>
      <c r="K1485" s="16">
        <v>77.7</v>
      </c>
      <c r="L1485" s="19">
        <v>0.79</v>
      </c>
      <c r="M1485" s="19">
        <v>3.1E-2</v>
      </c>
      <c r="N1485" s="21">
        <v>38833.9</v>
      </c>
      <c r="O1485" s="21">
        <v>28467.18</v>
      </c>
      <c r="P1485" s="26">
        <v>10366.719999999999</v>
      </c>
    </row>
    <row r="1486" spans="1:16" x14ac:dyDescent="0.3">
      <c r="A1486" s="25">
        <v>1485</v>
      </c>
      <c r="B1486" s="16" t="s">
        <v>63</v>
      </c>
      <c r="C1486" s="16">
        <v>2025</v>
      </c>
      <c r="D1486" s="16" t="s">
        <v>26</v>
      </c>
      <c r="E1486" s="16" t="s">
        <v>31</v>
      </c>
      <c r="F1486" s="16" t="s">
        <v>36</v>
      </c>
      <c r="G1486" s="16">
        <v>52</v>
      </c>
      <c r="H1486" s="16">
        <v>9123</v>
      </c>
      <c r="I1486" s="16">
        <v>912.2</v>
      </c>
      <c r="J1486" s="19">
        <v>0.66500000000000004</v>
      </c>
      <c r="K1486" s="16">
        <v>79.5</v>
      </c>
      <c r="L1486" s="19">
        <v>0.873</v>
      </c>
      <c r="M1486" s="19">
        <v>3.5999999999999997E-2</v>
      </c>
      <c r="N1486" s="21">
        <v>68634.559999999998</v>
      </c>
      <c r="O1486" s="21">
        <v>44950.13</v>
      </c>
      <c r="P1486" s="26">
        <v>23684.43</v>
      </c>
    </row>
    <row r="1487" spans="1:16" x14ac:dyDescent="0.3">
      <c r="A1487" s="25">
        <v>1486</v>
      </c>
      <c r="B1487" s="16" t="s">
        <v>63</v>
      </c>
      <c r="C1487" s="16">
        <v>2025</v>
      </c>
      <c r="D1487" s="16" t="s">
        <v>26</v>
      </c>
      <c r="E1487" s="16" t="s">
        <v>35</v>
      </c>
      <c r="F1487" s="16" t="s">
        <v>36</v>
      </c>
      <c r="G1487" s="16">
        <v>44</v>
      </c>
      <c r="H1487" s="16">
        <v>7084</v>
      </c>
      <c r="I1487" s="16">
        <v>940.4</v>
      </c>
      <c r="J1487" s="19">
        <v>0.58899999999999997</v>
      </c>
      <c r="K1487" s="16">
        <v>82.1</v>
      </c>
      <c r="L1487" s="19">
        <v>0.93300000000000005</v>
      </c>
      <c r="M1487" s="19">
        <v>3.9E-2</v>
      </c>
      <c r="N1487" s="21">
        <v>48081.03</v>
      </c>
      <c r="O1487" s="21">
        <v>31826.52</v>
      </c>
      <c r="P1487" s="26">
        <v>16254.51</v>
      </c>
    </row>
    <row r="1488" spans="1:16" x14ac:dyDescent="0.3">
      <c r="A1488" s="25">
        <v>1487</v>
      </c>
      <c r="B1488" s="16" t="s">
        <v>63</v>
      </c>
      <c r="C1488" s="16">
        <v>2025</v>
      </c>
      <c r="D1488" s="16" t="s">
        <v>26</v>
      </c>
      <c r="E1488" s="16" t="s">
        <v>32</v>
      </c>
      <c r="F1488" s="16" t="s">
        <v>37</v>
      </c>
      <c r="G1488" s="16">
        <v>36</v>
      </c>
      <c r="H1488" s="16">
        <v>5850</v>
      </c>
      <c r="I1488" s="16">
        <v>692.6</v>
      </c>
      <c r="J1488" s="19">
        <v>0.71899999999999997</v>
      </c>
      <c r="K1488" s="16">
        <v>84.1</v>
      </c>
      <c r="L1488" s="19">
        <v>0.87</v>
      </c>
      <c r="M1488" s="19">
        <v>2.8000000000000001E-2</v>
      </c>
      <c r="N1488" s="21">
        <v>51171.56</v>
      </c>
      <c r="O1488" s="21">
        <v>33099.43</v>
      </c>
      <c r="P1488" s="26">
        <v>18072.13</v>
      </c>
    </row>
    <row r="1489" spans="1:16" x14ac:dyDescent="0.3">
      <c r="A1489" s="25">
        <v>1488</v>
      </c>
      <c r="B1489" s="16" t="s">
        <v>63</v>
      </c>
      <c r="C1489" s="16">
        <v>2025</v>
      </c>
      <c r="D1489" s="16" t="s">
        <v>26</v>
      </c>
      <c r="E1489" s="16" t="s">
        <v>30</v>
      </c>
      <c r="F1489" s="16" t="s">
        <v>37</v>
      </c>
      <c r="G1489" s="16">
        <v>72</v>
      </c>
      <c r="H1489" s="16">
        <v>7456</v>
      </c>
      <c r="I1489" s="16">
        <v>628.9</v>
      </c>
      <c r="J1489" s="19">
        <v>0.64900000000000002</v>
      </c>
      <c r="K1489" s="16">
        <v>65.8</v>
      </c>
      <c r="L1489" s="19">
        <v>0.93799999999999994</v>
      </c>
      <c r="M1489" s="19">
        <v>2.4E-2</v>
      </c>
      <c r="N1489" s="21">
        <v>83055.570000000007</v>
      </c>
      <c r="O1489" s="21">
        <v>59519.55</v>
      </c>
      <c r="P1489" s="26">
        <v>23536.02</v>
      </c>
    </row>
    <row r="1490" spans="1:16" x14ac:dyDescent="0.3">
      <c r="A1490" s="25">
        <v>1489</v>
      </c>
      <c r="B1490" s="16" t="s">
        <v>63</v>
      </c>
      <c r="C1490" s="16">
        <v>2025</v>
      </c>
      <c r="D1490" s="16" t="s">
        <v>26</v>
      </c>
      <c r="E1490" s="16" t="s">
        <v>34</v>
      </c>
      <c r="F1490" s="16" t="s">
        <v>37</v>
      </c>
      <c r="G1490" s="16">
        <v>56</v>
      </c>
      <c r="H1490" s="16">
        <v>8612</v>
      </c>
      <c r="I1490" s="16">
        <v>662.6</v>
      </c>
      <c r="J1490" s="19">
        <v>0.52100000000000002</v>
      </c>
      <c r="K1490" s="16">
        <v>73</v>
      </c>
      <c r="L1490" s="19">
        <v>0.93700000000000006</v>
      </c>
      <c r="M1490" s="19">
        <v>3.9E-2</v>
      </c>
      <c r="N1490" s="21">
        <v>57806.93</v>
      </c>
      <c r="O1490" s="21">
        <v>37354.43</v>
      </c>
      <c r="P1490" s="26">
        <v>20452.5</v>
      </c>
    </row>
    <row r="1491" spans="1:16" x14ac:dyDescent="0.3">
      <c r="A1491" s="25">
        <v>1490</v>
      </c>
      <c r="B1491" s="16" t="s">
        <v>63</v>
      </c>
      <c r="C1491" s="16">
        <v>2025</v>
      </c>
      <c r="D1491" s="16" t="s">
        <v>26</v>
      </c>
      <c r="E1491" s="16" t="s">
        <v>35</v>
      </c>
      <c r="F1491" s="16" t="s">
        <v>37</v>
      </c>
      <c r="G1491" s="16">
        <v>62</v>
      </c>
      <c r="H1491" s="16">
        <v>7540</v>
      </c>
      <c r="I1491" s="16">
        <v>617.1</v>
      </c>
      <c r="J1491" s="19">
        <v>0.751</v>
      </c>
      <c r="K1491" s="16">
        <v>81</v>
      </c>
      <c r="L1491" s="19">
        <v>0.92200000000000004</v>
      </c>
      <c r="M1491" s="19">
        <v>5.0999999999999997E-2</v>
      </c>
      <c r="N1491" s="21">
        <v>84311.07</v>
      </c>
      <c r="O1491" s="21">
        <v>63989.75</v>
      </c>
      <c r="P1491" s="26">
        <v>20321.32</v>
      </c>
    </row>
    <row r="1492" spans="1:16" x14ac:dyDescent="0.3">
      <c r="A1492" s="25">
        <v>1491</v>
      </c>
      <c r="B1492" s="16" t="s">
        <v>63</v>
      </c>
      <c r="C1492" s="16">
        <v>2025</v>
      </c>
      <c r="D1492" s="16" t="s">
        <v>38</v>
      </c>
      <c r="E1492" s="16" t="s">
        <v>31</v>
      </c>
      <c r="F1492" s="16" t="s">
        <v>28</v>
      </c>
      <c r="G1492" s="16">
        <v>69</v>
      </c>
      <c r="H1492" s="16">
        <v>10071</v>
      </c>
      <c r="I1492" s="16">
        <v>372.8</v>
      </c>
      <c r="J1492" s="19">
        <v>0.70399999999999996</v>
      </c>
      <c r="K1492" s="16">
        <v>83.1</v>
      </c>
      <c r="L1492" s="19">
        <v>0.86</v>
      </c>
      <c r="M1492" s="19">
        <v>5.0999999999999997E-2</v>
      </c>
      <c r="N1492" s="21">
        <v>100544.88</v>
      </c>
      <c r="O1492" s="21">
        <v>77601.36</v>
      </c>
      <c r="P1492" s="26">
        <v>22943.52</v>
      </c>
    </row>
    <row r="1493" spans="1:16" x14ac:dyDescent="0.3">
      <c r="A1493" s="25">
        <v>1492</v>
      </c>
      <c r="B1493" s="16" t="s">
        <v>63</v>
      </c>
      <c r="C1493" s="16">
        <v>2025</v>
      </c>
      <c r="D1493" s="16" t="s">
        <v>38</v>
      </c>
      <c r="E1493" s="16" t="s">
        <v>35</v>
      </c>
      <c r="F1493" s="16" t="s">
        <v>28</v>
      </c>
      <c r="G1493" s="16">
        <v>44</v>
      </c>
      <c r="H1493" s="16">
        <v>6660</v>
      </c>
      <c r="I1493" s="16">
        <v>457.5</v>
      </c>
      <c r="J1493" s="19">
        <v>0.77900000000000003</v>
      </c>
      <c r="K1493" s="16">
        <v>81.400000000000006</v>
      </c>
      <c r="L1493" s="19">
        <v>0.93200000000000005</v>
      </c>
      <c r="M1493" s="19">
        <v>2.4E-2</v>
      </c>
      <c r="N1493" s="21">
        <v>56072.43</v>
      </c>
      <c r="O1493" s="21">
        <v>36420.269999999997</v>
      </c>
      <c r="P1493" s="26">
        <v>19652.16</v>
      </c>
    </row>
    <row r="1494" spans="1:16" x14ac:dyDescent="0.3">
      <c r="A1494" s="25">
        <v>1493</v>
      </c>
      <c r="B1494" s="16" t="s">
        <v>63</v>
      </c>
      <c r="C1494" s="16">
        <v>2025</v>
      </c>
      <c r="D1494" s="16" t="s">
        <v>38</v>
      </c>
      <c r="E1494" s="16" t="s">
        <v>27</v>
      </c>
      <c r="F1494" s="16" t="s">
        <v>29</v>
      </c>
      <c r="G1494" s="16">
        <v>77</v>
      </c>
      <c r="H1494" s="16">
        <v>11212</v>
      </c>
      <c r="I1494" s="16">
        <v>261</v>
      </c>
      <c r="J1494" s="19">
        <v>0.69499999999999995</v>
      </c>
      <c r="K1494" s="16">
        <v>78.8</v>
      </c>
      <c r="L1494" s="19">
        <v>0.876</v>
      </c>
      <c r="M1494" s="19">
        <v>4.1000000000000002E-2</v>
      </c>
      <c r="N1494" s="21">
        <v>89910.44</v>
      </c>
      <c r="O1494" s="21">
        <v>60664.17</v>
      </c>
      <c r="P1494" s="26">
        <v>29246.27</v>
      </c>
    </row>
    <row r="1495" spans="1:16" x14ac:dyDescent="0.3">
      <c r="A1495" s="25">
        <v>1494</v>
      </c>
      <c r="B1495" s="16" t="s">
        <v>63</v>
      </c>
      <c r="C1495" s="16">
        <v>2025</v>
      </c>
      <c r="D1495" s="16" t="s">
        <v>38</v>
      </c>
      <c r="E1495" s="16" t="s">
        <v>30</v>
      </c>
      <c r="F1495" s="16" t="s">
        <v>29</v>
      </c>
      <c r="G1495" s="16">
        <v>25</v>
      </c>
      <c r="H1495" s="16">
        <v>3954</v>
      </c>
      <c r="I1495" s="16">
        <v>251.8</v>
      </c>
      <c r="J1495" s="19">
        <v>0.58099999999999996</v>
      </c>
      <c r="K1495" s="16">
        <v>87</v>
      </c>
      <c r="L1495" s="19">
        <v>0.76100000000000001</v>
      </c>
      <c r="M1495" s="19">
        <v>0.03</v>
      </c>
      <c r="N1495" s="21">
        <v>31535.33</v>
      </c>
      <c r="O1495" s="21">
        <v>20304.16</v>
      </c>
      <c r="P1495" s="26">
        <v>11231.17</v>
      </c>
    </row>
    <row r="1496" spans="1:16" x14ac:dyDescent="0.3">
      <c r="A1496" s="25">
        <v>1495</v>
      </c>
      <c r="B1496" s="16" t="s">
        <v>63</v>
      </c>
      <c r="C1496" s="16">
        <v>2025</v>
      </c>
      <c r="D1496" s="16" t="s">
        <v>38</v>
      </c>
      <c r="E1496" s="16" t="s">
        <v>32</v>
      </c>
      <c r="F1496" s="16" t="s">
        <v>33</v>
      </c>
      <c r="G1496" s="16">
        <v>54</v>
      </c>
      <c r="H1496" s="16">
        <v>7417</v>
      </c>
      <c r="I1496" s="16">
        <v>452.8</v>
      </c>
      <c r="J1496" s="19">
        <v>0.72899999999999998</v>
      </c>
      <c r="K1496" s="16">
        <v>87.6</v>
      </c>
      <c r="L1496" s="19">
        <v>0.92300000000000004</v>
      </c>
      <c r="M1496" s="19">
        <v>5.5E-2</v>
      </c>
      <c r="N1496" s="21">
        <v>70829.179999999993</v>
      </c>
      <c r="O1496" s="21">
        <v>44426.99</v>
      </c>
      <c r="P1496" s="26">
        <v>26402.19</v>
      </c>
    </row>
    <row r="1497" spans="1:16" x14ac:dyDescent="0.3">
      <c r="A1497" s="25">
        <v>1496</v>
      </c>
      <c r="B1497" s="16" t="s">
        <v>63</v>
      </c>
      <c r="C1497" s="16">
        <v>2025</v>
      </c>
      <c r="D1497" s="16" t="s">
        <v>38</v>
      </c>
      <c r="E1497" s="16" t="s">
        <v>30</v>
      </c>
      <c r="F1497" s="16" t="s">
        <v>33</v>
      </c>
      <c r="G1497" s="16">
        <v>32</v>
      </c>
      <c r="H1497" s="16">
        <v>5338</v>
      </c>
      <c r="I1497" s="16">
        <v>440.4</v>
      </c>
      <c r="J1497" s="19">
        <v>0.70399999999999996</v>
      </c>
      <c r="K1497" s="16">
        <v>90.4</v>
      </c>
      <c r="L1497" s="19">
        <v>0.79200000000000004</v>
      </c>
      <c r="M1497" s="19">
        <v>4.2000000000000003E-2</v>
      </c>
      <c r="N1497" s="21">
        <v>52491.360000000001</v>
      </c>
      <c r="O1497" s="21">
        <v>38793.89</v>
      </c>
      <c r="P1497" s="26">
        <v>13697.47</v>
      </c>
    </row>
    <row r="1498" spans="1:16" x14ac:dyDescent="0.3">
      <c r="A1498" s="25">
        <v>1497</v>
      </c>
      <c r="B1498" s="16" t="s">
        <v>63</v>
      </c>
      <c r="C1498" s="16">
        <v>2025</v>
      </c>
      <c r="D1498" s="16" t="s">
        <v>38</v>
      </c>
      <c r="E1498" s="16" t="s">
        <v>34</v>
      </c>
      <c r="F1498" s="16" t="s">
        <v>33</v>
      </c>
      <c r="G1498" s="16">
        <v>40</v>
      </c>
      <c r="H1498" s="16">
        <v>5621</v>
      </c>
      <c r="I1498" s="16">
        <v>490.2</v>
      </c>
      <c r="J1498" s="19">
        <v>0.77800000000000002</v>
      </c>
      <c r="K1498" s="16">
        <v>95.8</v>
      </c>
      <c r="L1498" s="19">
        <v>0.95</v>
      </c>
      <c r="M1498" s="19">
        <v>2.5000000000000001E-2</v>
      </c>
      <c r="N1498" s="21">
        <v>62656.54</v>
      </c>
      <c r="O1498" s="21">
        <v>48069.04</v>
      </c>
      <c r="P1498" s="26">
        <v>14587.5</v>
      </c>
    </row>
    <row r="1499" spans="1:16" x14ac:dyDescent="0.3">
      <c r="A1499" s="25">
        <v>1498</v>
      </c>
      <c r="B1499" s="16" t="s">
        <v>63</v>
      </c>
      <c r="C1499" s="16">
        <v>2025</v>
      </c>
      <c r="D1499" s="16" t="s">
        <v>38</v>
      </c>
      <c r="E1499" s="16" t="s">
        <v>32</v>
      </c>
      <c r="F1499" s="16" t="s">
        <v>36</v>
      </c>
      <c r="G1499" s="16">
        <v>78</v>
      </c>
      <c r="H1499" s="16">
        <v>9294</v>
      </c>
      <c r="I1499" s="16">
        <v>854.6</v>
      </c>
      <c r="J1499" s="19">
        <v>0.68400000000000005</v>
      </c>
      <c r="K1499" s="16">
        <v>94.6</v>
      </c>
      <c r="L1499" s="19">
        <v>0.89800000000000002</v>
      </c>
      <c r="M1499" s="19">
        <v>3.9E-2</v>
      </c>
      <c r="N1499" s="21">
        <v>121133.35</v>
      </c>
      <c r="O1499" s="21">
        <v>78305.210000000006</v>
      </c>
      <c r="P1499" s="26">
        <v>42828.14</v>
      </c>
    </row>
    <row r="1500" spans="1:16" x14ac:dyDescent="0.3">
      <c r="A1500" s="25">
        <v>1499</v>
      </c>
      <c r="B1500" s="16" t="s">
        <v>63</v>
      </c>
      <c r="C1500" s="16">
        <v>2025</v>
      </c>
      <c r="D1500" s="16" t="s">
        <v>38</v>
      </c>
      <c r="E1500" s="16" t="s">
        <v>30</v>
      </c>
      <c r="F1500" s="16" t="s">
        <v>36</v>
      </c>
      <c r="G1500" s="16">
        <v>77</v>
      </c>
      <c r="H1500" s="16">
        <v>10335</v>
      </c>
      <c r="I1500" s="16">
        <v>835.1</v>
      </c>
      <c r="J1500" s="19">
        <v>0.70299999999999996</v>
      </c>
      <c r="K1500" s="16">
        <v>77.7</v>
      </c>
      <c r="L1500" s="19">
        <v>0.9</v>
      </c>
      <c r="M1500" s="19">
        <v>4.2999999999999997E-2</v>
      </c>
      <c r="N1500" s="21">
        <v>91368.48</v>
      </c>
      <c r="O1500" s="21">
        <v>63951.54</v>
      </c>
      <c r="P1500" s="26">
        <v>27416.94</v>
      </c>
    </row>
    <row r="1501" spans="1:16" x14ac:dyDescent="0.3">
      <c r="A1501" s="25">
        <v>1500</v>
      </c>
      <c r="B1501" s="16" t="s">
        <v>63</v>
      </c>
      <c r="C1501" s="16">
        <v>2025</v>
      </c>
      <c r="D1501" s="16" t="s">
        <v>38</v>
      </c>
      <c r="E1501" s="16" t="s">
        <v>34</v>
      </c>
      <c r="F1501" s="16" t="s">
        <v>36</v>
      </c>
      <c r="G1501" s="16">
        <v>63</v>
      </c>
      <c r="H1501" s="16">
        <v>10406</v>
      </c>
      <c r="I1501" s="16">
        <v>970.4</v>
      </c>
      <c r="J1501" s="19">
        <v>0.627</v>
      </c>
      <c r="K1501" s="16">
        <v>76.2</v>
      </c>
      <c r="L1501" s="19">
        <v>0.93500000000000005</v>
      </c>
      <c r="M1501" s="19">
        <v>5.8999999999999997E-2</v>
      </c>
      <c r="N1501" s="21">
        <v>78453.91</v>
      </c>
      <c r="O1501" s="21">
        <v>51062.75</v>
      </c>
      <c r="P1501" s="26">
        <v>27391.16</v>
      </c>
    </row>
    <row r="1502" spans="1:16" x14ac:dyDescent="0.3">
      <c r="A1502" s="25">
        <v>1501</v>
      </c>
      <c r="B1502" s="16" t="s">
        <v>63</v>
      </c>
      <c r="C1502" s="16">
        <v>2025</v>
      </c>
      <c r="D1502" s="16" t="s">
        <v>38</v>
      </c>
      <c r="E1502" s="16" t="s">
        <v>31</v>
      </c>
      <c r="F1502" s="16" t="s">
        <v>36</v>
      </c>
      <c r="G1502" s="16">
        <v>47</v>
      </c>
      <c r="H1502" s="16">
        <v>6685</v>
      </c>
      <c r="I1502" s="16">
        <v>934.4</v>
      </c>
      <c r="J1502" s="19">
        <v>0.61299999999999999</v>
      </c>
      <c r="K1502" s="16">
        <v>87.4</v>
      </c>
      <c r="L1502" s="19">
        <v>0.94499999999999995</v>
      </c>
      <c r="M1502" s="19">
        <v>5.1999999999999998E-2</v>
      </c>
      <c r="N1502" s="21">
        <v>56114.06</v>
      </c>
      <c r="O1502" s="21">
        <v>42249.37</v>
      </c>
      <c r="P1502" s="26">
        <v>13864.69</v>
      </c>
    </row>
    <row r="1503" spans="1:16" x14ac:dyDescent="0.3">
      <c r="A1503" s="25">
        <v>1502</v>
      </c>
      <c r="B1503" s="16" t="s">
        <v>63</v>
      </c>
      <c r="C1503" s="16">
        <v>2025</v>
      </c>
      <c r="D1503" s="16" t="s">
        <v>38</v>
      </c>
      <c r="E1503" s="16" t="s">
        <v>32</v>
      </c>
      <c r="F1503" s="16" t="s">
        <v>37</v>
      </c>
      <c r="G1503" s="16">
        <v>81</v>
      </c>
      <c r="H1503" s="16">
        <v>14217</v>
      </c>
      <c r="I1503" s="16">
        <v>642</v>
      </c>
      <c r="J1503" s="19">
        <v>0.55900000000000005</v>
      </c>
      <c r="K1503" s="16">
        <v>80.900000000000006</v>
      </c>
      <c r="L1503" s="19">
        <v>0.91200000000000003</v>
      </c>
      <c r="M1503" s="19">
        <v>3.5999999999999997E-2</v>
      </c>
      <c r="N1503" s="21">
        <v>93010.18</v>
      </c>
      <c r="O1503" s="21">
        <v>71998.27</v>
      </c>
      <c r="P1503" s="26">
        <v>21011.91</v>
      </c>
    </row>
    <row r="1504" spans="1:16" x14ac:dyDescent="0.3">
      <c r="A1504" s="25">
        <v>1503</v>
      </c>
      <c r="B1504" s="16" t="s">
        <v>63</v>
      </c>
      <c r="C1504" s="16">
        <v>2025</v>
      </c>
      <c r="D1504" s="16" t="s">
        <v>38</v>
      </c>
      <c r="E1504" s="16" t="s">
        <v>27</v>
      </c>
      <c r="F1504" s="16" t="s">
        <v>37</v>
      </c>
      <c r="G1504" s="16">
        <v>29</v>
      </c>
      <c r="H1504" s="16">
        <v>4512</v>
      </c>
      <c r="I1504" s="16">
        <v>642.4</v>
      </c>
      <c r="J1504" s="19">
        <v>0.69199999999999995</v>
      </c>
      <c r="K1504" s="16">
        <v>86.8</v>
      </c>
      <c r="L1504" s="19">
        <v>0.88300000000000001</v>
      </c>
      <c r="M1504" s="19">
        <v>0.03</v>
      </c>
      <c r="N1504" s="21">
        <v>37359.919999999998</v>
      </c>
      <c r="O1504" s="21">
        <v>28135.73</v>
      </c>
      <c r="P1504" s="26">
        <v>9224.19</v>
      </c>
    </row>
    <row r="1505" spans="1:16" x14ac:dyDescent="0.3">
      <c r="A1505" s="25">
        <v>1504</v>
      </c>
      <c r="B1505" s="16" t="s">
        <v>63</v>
      </c>
      <c r="C1505" s="16">
        <v>2025</v>
      </c>
      <c r="D1505" s="16" t="s">
        <v>39</v>
      </c>
      <c r="E1505" s="16" t="s">
        <v>27</v>
      </c>
      <c r="F1505" s="16" t="s">
        <v>28</v>
      </c>
      <c r="G1505" s="16">
        <v>66</v>
      </c>
      <c r="H1505" s="16">
        <v>9040</v>
      </c>
      <c r="I1505" s="16">
        <v>418.9</v>
      </c>
      <c r="J1505" s="19">
        <v>0.70199999999999996</v>
      </c>
      <c r="K1505" s="16">
        <v>86.4</v>
      </c>
      <c r="L1505" s="19">
        <v>0.94299999999999995</v>
      </c>
      <c r="M1505" s="19">
        <v>5.2999999999999999E-2</v>
      </c>
      <c r="N1505" s="21">
        <v>96728.17</v>
      </c>
      <c r="O1505" s="21">
        <v>63508.24</v>
      </c>
      <c r="P1505" s="26">
        <v>33219.93</v>
      </c>
    </row>
    <row r="1506" spans="1:16" x14ac:dyDescent="0.3">
      <c r="A1506" s="25">
        <v>1505</v>
      </c>
      <c r="B1506" s="16" t="s">
        <v>63</v>
      </c>
      <c r="C1506" s="16">
        <v>2025</v>
      </c>
      <c r="D1506" s="16" t="s">
        <v>39</v>
      </c>
      <c r="E1506" s="16" t="s">
        <v>34</v>
      </c>
      <c r="F1506" s="16" t="s">
        <v>28</v>
      </c>
      <c r="G1506" s="16">
        <v>60</v>
      </c>
      <c r="H1506" s="16">
        <v>7451</v>
      </c>
      <c r="I1506" s="16">
        <v>388.8</v>
      </c>
      <c r="J1506" s="19">
        <v>0.74399999999999999</v>
      </c>
      <c r="K1506" s="16">
        <v>92.2</v>
      </c>
      <c r="L1506" s="19">
        <v>0.85</v>
      </c>
      <c r="M1506" s="19">
        <v>3.2000000000000001E-2</v>
      </c>
      <c r="N1506" s="21">
        <v>76803.27</v>
      </c>
      <c r="O1506" s="21">
        <v>55157.77</v>
      </c>
      <c r="P1506" s="26">
        <v>21645.5</v>
      </c>
    </row>
    <row r="1507" spans="1:16" x14ac:dyDescent="0.3">
      <c r="A1507" s="25">
        <v>1506</v>
      </c>
      <c r="B1507" s="16" t="s">
        <v>63</v>
      </c>
      <c r="C1507" s="16">
        <v>2025</v>
      </c>
      <c r="D1507" s="16" t="s">
        <v>39</v>
      </c>
      <c r="E1507" s="16" t="s">
        <v>31</v>
      </c>
      <c r="F1507" s="16" t="s">
        <v>28</v>
      </c>
      <c r="G1507" s="16">
        <v>67</v>
      </c>
      <c r="H1507" s="16">
        <v>10748</v>
      </c>
      <c r="I1507" s="16">
        <v>364.8</v>
      </c>
      <c r="J1507" s="19">
        <v>0.73199999999999998</v>
      </c>
      <c r="K1507" s="16">
        <v>87.8</v>
      </c>
      <c r="L1507" s="19">
        <v>0.97099999999999997</v>
      </c>
      <c r="M1507" s="19">
        <v>3.7999999999999999E-2</v>
      </c>
      <c r="N1507" s="21">
        <v>96816.78</v>
      </c>
      <c r="O1507" s="21">
        <v>75343.16</v>
      </c>
      <c r="P1507" s="26">
        <v>21473.62</v>
      </c>
    </row>
    <row r="1508" spans="1:16" x14ac:dyDescent="0.3">
      <c r="A1508" s="25">
        <v>1507</v>
      </c>
      <c r="B1508" s="16" t="s">
        <v>63</v>
      </c>
      <c r="C1508" s="16">
        <v>2025</v>
      </c>
      <c r="D1508" s="16" t="s">
        <v>39</v>
      </c>
      <c r="E1508" s="16" t="s">
        <v>31</v>
      </c>
      <c r="F1508" s="16" t="s">
        <v>29</v>
      </c>
      <c r="G1508" s="16">
        <v>59</v>
      </c>
      <c r="H1508" s="16">
        <v>9014</v>
      </c>
      <c r="I1508" s="16">
        <v>299.89999999999998</v>
      </c>
      <c r="J1508" s="19">
        <v>0.67900000000000005</v>
      </c>
      <c r="K1508" s="16">
        <v>74.5</v>
      </c>
      <c r="L1508" s="19">
        <v>0.94399999999999995</v>
      </c>
      <c r="M1508" s="19">
        <v>3.4000000000000002E-2</v>
      </c>
      <c r="N1508" s="21">
        <v>71686.13</v>
      </c>
      <c r="O1508" s="21">
        <v>44909.3</v>
      </c>
      <c r="P1508" s="26">
        <v>26776.83</v>
      </c>
    </row>
    <row r="1509" spans="1:16" x14ac:dyDescent="0.3">
      <c r="A1509" s="25">
        <v>1508</v>
      </c>
      <c r="B1509" s="16" t="s">
        <v>63</v>
      </c>
      <c r="C1509" s="16">
        <v>2025</v>
      </c>
      <c r="D1509" s="16" t="s">
        <v>39</v>
      </c>
      <c r="E1509" s="16" t="s">
        <v>32</v>
      </c>
      <c r="F1509" s="16" t="s">
        <v>33</v>
      </c>
      <c r="G1509" s="16">
        <v>72</v>
      </c>
      <c r="H1509" s="16">
        <v>12238</v>
      </c>
      <c r="I1509" s="16">
        <v>527.29999999999995</v>
      </c>
      <c r="J1509" s="19">
        <v>0.71</v>
      </c>
      <c r="K1509" s="16">
        <v>78.2</v>
      </c>
      <c r="L1509" s="19">
        <v>0.89100000000000001</v>
      </c>
      <c r="M1509" s="19">
        <v>4.1000000000000002E-2</v>
      </c>
      <c r="N1509" s="21">
        <v>95385.08</v>
      </c>
      <c r="O1509" s="21">
        <v>66579.03</v>
      </c>
      <c r="P1509" s="26">
        <v>28806.05</v>
      </c>
    </row>
    <row r="1510" spans="1:16" x14ac:dyDescent="0.3">
      <c r="A1510" s="25">
        <v>1509</v>
      </c>
      <c r="B1510" s="16" t="s">
        <v>63</v>
      </c>
      <c r="C1510" s="16">
        <v>2025</v>
      </c>
      <c r="D1510" s="16" t="s">
        <v>39</v>
      </c>
      <c r="E1510" s="16" t="s">
        <v>30</v>
      </c>
      <c r="F1510" s="16" t="s">
        <v>33</v>
      </c>
      <c r="G1510" s="16">
        <v>64</v>
      </c>
      <c r="H1510" s="16">
        <v>8634</v>
      </c>
      <c r="I1510" s="16">
        <v>518.4</v>
      </c>
      <c r="J1510" s="19">
        <v>0.84</v>
      </c>
      <c r="K1510" s="16">
        <v>80.099999999999994</v>
      </c>
      <c r="L1510" s="19">
        <v>0.96</v>
      </c>
      <c r="M1510" s="19">
        <v>3.4000000000000002E-2</v>
      </c>
      <c r="N1510" s="21">
        <v>97718.41</v>
      </c>
      <c r="O1510" s="21">
        <v>66313.94</v>
      </c>
      <c r="P1510" s="26">
        <v>31404.47</v>
      </c>
    </row>
    <row r="1511" spans="1:16" x14ac:dyDescent="0.3">
      <c r="A1511" s="25">
        <v>1510</v>
      </c>
      <c r="B1511" s="16" t="s">
        <v>63</v>
      </c>
      <c r="C1511" s="16">
        <v>2025</v>
      </c>
      <c r="D1511" s="16" t="s">
        <v>39</v>
      </c>
      <c r="E1511" s="16" t="s">
        <v>34</v>
      </c>
      <c r="F1511" s="16" t="s">
        <v>33</v>
      </c>
      <c r="G1511" s="16">
        <v>73</v>
      </c>
      <c r="H1511" s="16">
        <v>10391</v>
      </c>
      <c r="I1511" s="16">
        <v>493.2</v>
      </c>
      <c r="J1511" s="19">
        <v>0.79900000000000004</v>
      </c>
      <c r="K1511" s="16">
        <v>85.6</v>
      </c>
      <c r="L1511" s="19">
        <v>0.81299999999999994</v>
      </c>
      <c r="M1511" s="19">
        <v>5.0999999999999997E-2</v>
      </c>
      <c r="N1511" s="21">
        <v>108347.87</v>
      </c>
      <c r="O1511" s="21">
        <v>68389.789999999994</v>
      </c>
      <c r="P1511" s="26">
        <v>39958.080000000002</v>
      </c>
    </row>
    <row r="1512" spans="1:16" x14ac:dyDescent="0.3">
      <c r="A1512" s="25">
        <v>1511</v>
      </c>
      <c r="B1512" s="16" t="s">
        <v>63</v>
      </c>
      <c r="C1512" s="16">
        <v>2025</v>
      </c>
      <c r="D1512" s="16" t="s">
        <v>39</v>
      </c>
      <c r="E1512" s="16" t="s">
        <v>35</v>
      </c>
      <c r="F1512" s="16" t="s">
        <v>33</v>
      </c>
      <c r="G1512" s="16">
        <v>35</v>
      </c>
      <c r="H1512" s="16">
        <v>5943</v>
      </c>
      <c r="I1512" s="16">
        <v>500.7</v>
      </c>
      <c r="J1512" s="19">
        <v>0.77800000000000002</v>
      </c>
      <c r="K1512" s="16">
        <v>80.5</v>
      </c>
      <c r="L1512" s="19">
        <v>0.95499999999999996</v>
      </c>
      <c r="M1512" s="19">
        <v>4.8000000000000001E-2</v>
      </c>
      <c r="N1512" s="21">
        <v>49022.29</v>
      </c>
      <c r="O1512" s="21">
        <v>37749.03</v>
      </c>
      <c r="P1512" s="26">
        <v>11273.26</v>
      </c>
    </row>
    <row r="1513" spans="1:16" x14ac:dyDescent="0.3">
      <c r="A1513" s="25">
        <v>1512</v>
      </c>
      <c r="B1513" s="16" t="s">
        <v>63</v>
      </c>
      <c r="C1513" s="16">
        <v>2025</v>
      </c>
      <c r="D1513" s="16" t="s">
        <v>39</v>
      </c>
      <c r="E1513" s="16" t="s">
        <v>32</v>
      </c>
      <c r="F1513" s="16" t="s">
        <v>36</v>
      </c>
      <c r="G1513" s="16">
        <v>26</v>
      </c>
      <c r="H1513" s="16">
        <v>4127</v>
      </c>
      <c r="I1513" s="16">
        <v>837.1</v>
      </c>
      <c r="J1513" s="19">
        <v>0.70899999999999996</v>
      </c>
      <c r="K1513" s="16">
        <v>79.8</v>
      </c>
      <c r="L1513" s="19">
        <v>0.876</v>
      </c>
      <c r="M1513" s="19">
        <v>5.1999999999999998E-2</v>
      </c>
      <c r="N1513" s="21">
        <v>43184.19</v>
      </c>
      <c r="O1513" s="21">
        <v>32468.63</v>
      </c>
      <c r="P1513" s="26">
        <v>10715.56</v>
      </c>
    </row>
    <row r="1514" spans="1:16" x14ac:dyDescent="0.3">
      <c r="A1514" s="25">
        <v>1513</v>
      </c>
      <c r="B1514" s="16" t="s">
        <v>63</v>
      </c>
      <c r="C1514" s="16">
        <v>2025</v>
      </c>
      <c r="D1514" s="16" t="s">
        <v>39</v>
      </c>
      <c r="E1514" s="16" t="s">
        <v>34</v>
      </c>
      <c r="F1514" s="16" t="s">
        <v>36</v>
      </c>
      <c r="G1514" s="16">
        <v>54</v>
      </c>
      <c r="H1514" s="16">
        <v>10738</v>
      </c>
      <c r="I1514" s="16">
        <v>902.7</v>
      </c>
      <c r="J1514" s="19">
        <v>0.70399999999999996</v>
      </c>
      <c r="K1514" s="16">
        <v>85.9</v>
      </c>
      <c r="L1514" s="19">
        <v>0.79800000000000004</v>
      </c>
      <c r="M1514" s="19">
        <v>0.04</v>
      </c>
      <c r="N1514" s="21">
        <v>89473.47</v>
      </c>
      <c r="O1514" s="21">
        <v>62119.29</v>
      </c>
      <c r="P1514" s="26">
        <v>27354.18</v>
      </c>
    </row>
    <row r="1515" spans="1:16" x14ac:dyDescent="0.3">
      <c r="A1515" s="25">
        <v>1514</v>
      </c>
      <c r="B1515" s="16" t="s">
        <v>63</v>
      </c>
      <c r="C1515" s="16">
        <v>2025</v>
      </c>
      <c r="D1515" s="16" t="s">
        <v>39</v>
      </c>
      <c r="E1515" s="16" t="s">
        <v>32</v>
      </c>
      <c r="F1515" s="16" t="s">
        <v>37</v>
      </c>
      <c r="G1515" s="16">
        <v>38</v>
      </c>
      <c r="H1515" s="16">
        <v>6242</v>
      </c>
      <c r="I1515" s="16">
        <v>626</v>
      </c>
      <c r="J1515" s="19">
        <v>0.60699999999999998</v>
      </c>
      <c r="K1515" s="16">
        <v>80.400000000000006</v>
      </c>
      <c r="L1515" s="19">
        <v>0.82499999999999996</v>
      </c>
      <c r="M1515" s="19">
        <v>3.7999999999999999E-2</v>
      </c>
      <c r="N1515" s="21">
        <v>53547.56</v>
      </c>
      <c r="O1515" s="21">
        <v>35077.040000000001</v>
      </c>
      <c r="P1515" s="26">
        <v>18470.52</v>
      </c>
    </row>
    <row r="1516" spans="1:16" x14ac:dyDescent="0.3">
      <c r="A1516" s="25">
        <v>1515</v>
      </c>
      <c r="B1516" s="16" t="s">
        <v>63</v>
      </c>
      <c r="C1516" s="16">
        <v>2025</v>
      </c>
      <c r="D1516" s="16" t="s">
        <v>39</v>
      </c>
      <c r="E1516" s="16" t="s">
        <v>27</v>
      </c>
      <c r="F1516" s="16" t="s">
        <v>37</v>
      </c>
      <c r="G1516" s="16">
        <v>44</v>
      </c>
      <c r="H1516" s="16">
        <v>6894</v>
      </c>
      <c r="I1516" s="16">
        <v>707.6</v>
      </c>
      <c r="J1516" s="19">
        <v>0.66300000000000003</v>
      </c>
      <c r="K1516" s="16">
        <v>82.3</v>
      </c>
      <c r="L1516" s="19">
        <v>0.95299999999999996</v>
      </c>
      <c r="M1516" s="19">
        <v>4.5999999999999999E-2</v>
      </c>
      <c r="N1516" s="21">
        <v>60918.8</v>
      </c>
      <c r="O1516" s="21">
        <v>40946.71</v>
      </c>
      <c r="P1516" s="26">
        <v>19972.09</v>
      </c>
    </row>
    <row r="1517" spans="1:16" x14ac:dyDescent="0.3">
      <c r="A1517" s="25">
        <v>1516</v>
      </c>
      <c r="B1517" s="16" t="s">
        <v>63</v>
      </c>
      <c r="C1517" s="16">
        <v>2025</v>
      </c>
      <c r="D1517" s="16" t="s">
        <v>39</v>
      </c>
      <c r="E1517" s="16" t="s">
        <v>34</v>
      </c>
      <c r="F1517" s="16" t="s">
        <v>37</v>
      </c>
      <c r="G1517" s="16">
        <v>68</v>
      </c>
      <c r="H1517" s="16">
        <v>10225</v>
      </c>
      <c r="I1517" s="16">
        <v>699</v>
      </c>
      <c r="J1517" s="19">
        <v>0.60199999999999998</v>
      </c>
      <c r="K1517" s="16">
        <v>79.5</v>
      </c>
      <c r="L1517" s="19">
        <v>0.84899999999999998</v>
      </c>
      <c r="M1517" s="19">
        <v>3.5000000000000003E-2</v>
      </c>
      <c r="N1517" s="21">
        <v>104562.32</v>
      </c>
      <c r="O1517" s="21">
        <v>68432.45</v>
      </c>
      <c r="P1517" s="26">
        <v>36129.870000000003</v>
      </c>
    </row>
    <row r="1518" spans="1:16" x14ac:dyDescent="0.3">
      <c r="A1518" s="25">
        <v>1517</v>
      </c>
      <c r="B1518" s="16" t="s">
        <v>63</v>
      </c>
      <c r="C1518" s="16">
        <v>2025</v>
      </c>
      <c r="D1518" s="16" t="s">
        <v>39</v>
      </c>
      <c r="E1518" s="16" t="s">
        <v>35</v>
      </c>
      <c r="F1518" s="16" t="s">
        <v>37</v>
      </c>
      <c r="G1518" s="16">
        <v>30</v>
      </c>
      <c r="H1518" s="16">
        <v>3985</v>
      </c>
      <c r="I1518" s="16">
        <v>688.1</v>
      </c>
      <c r="J1518" s="19">
        <v>0.74</v>
      </c>
      <c r="K1518" s="16">
        <v>79.099999999999994</v>
      </c>
      <c r="L1518" s="19">
        <v>0.94899999999999995</v>
      </c>
      <c r="M1518" s="19">
        <v>6.5000000000000002E-2</v>
      </c>
      <c r="N1518" s="21">
        <v>43120.75</v>
      </c>
      <c r="O1518" s="21">
        <v>28418.05</v>
      </c>
      <c r="P1518" s="26">
        <v>14702.7</v>
      </c>
    </row>
    <row r="1519" spans="1:16" x14ac:dyDescent="0.3">
      <c r="A1519" s="25">
        <v>1518</v>
      </c>
      <c r="B1519" s="16" t="s">
        <v>63</v>
      </c>
      <c r="C1519" s="16">
        <v>2025</v>
      </c>
      <c r="D1519" s="16" t="s">
        <v>40</v>
      </c>
      <c r="E1519" s="16" t="s">
        <v>30</v>
      </c>
      <c r="F1519" s="16" t="s">
        <v>28</v>
      </c>
      <c r="G1519" s="16">
        <v>77</v>
      </c>
      <c r="H1519" s="16">
        <v>13484</v>
      </c>
      <c r="I1519" s="16">
        <v>445.3</v>
      </c>
      <c r="J1519" s="19">
        <v>0.70899999999999996</v>
      </c>
      <c r="K1519" s="16">
        <v>79.599999999999994</v>
      </c>
      <c r="L1519" s="19">
        <v>0.86599999999999999</v>
      </c>
      <c r="M1519" s="19">
        <v>4.8000000000000001E-2</v>
      </c>
      <c r="N1519" s="21">
        <v>122220.72</v>
      </c>
      <c r="O1519" s="21">
        <v>90602.48</v>
      </c>
      <c r="P1519" s="26">
        <v>31618.240000000002</v>
      </c>
    </row>
    <row r="1520" spans="1:16" x14ac:dyDescent="0.3">
      <c r="A1520" s="25">
        <v>1519</v>
      </c>
      <c r="B1520" s="16" t="s">
        <v>63</v>
      </c>
      <c r="C1520" s="16">
        <v>2025</v>
      </c>
      <c r="D1520" s="16" t="s">
        <v>40</v>
      </c>
      <c r="E1520" s="16" t="s">
        <v>31</v>
      </c>
      <c r="F1520" s="16" t="s">
        <v>28</v>
      </c>
      <c r="G1520" s="16">
        <v>41</v>
      </c>
      <c r="H1520" s="16">
        <v>4762</v>
      </c>
      <c r="I1520" s="16">
        <v>341.1</v>
      </c>
      <c r="J1520" s="19">
        <v>0.85099999999999998</v>
      </c>
      <c r="K1520" s="16">
        <v>74</v>
      </c>
      <c r="L1520" s="19">
        <v>0.82199999999999995</v>
      </c>
      <c r="M1520" s="19">
        <v>3.7999999999999999E-2</v>
      </c>
      <c r="N1520" s="21">
        <v>56900.88</v>
      </c>
      <c r="O1520" s="21">
        <v>40757.51</v>
      </c>
      <c r="P1520" s="26">
        <v>16143.37</v>
      </c>
    </row>
    <row r="1521" spans="1:16" x14ac:dyDescent="0.3">
      <c r="A1521" s="25">
        <v>1520</v>
      </c>
      <c r="B1521" s="16" t="s">
        <v>63</v>
      </c>
      <c r="C1521" s="16">
        <v>2025</v>
      </c>
      <c r="D1521" s="16" t="s">
        <v>40</v>
      </c>
      <c r="E1521" s="16" t="s">
        <v>35</v>
      </c>
      <c r="F1521" s="16" t="s">
        <v>28</v>
      </c>
      <c r="G1521" s="16">
        <v>47</v>
      </c>
      <c r="H1521" s="16">
        <v>7951</v>
      </c>
      <c r="I1521" s="16">
        <v>408.4</v>
      </c>
      <c r="J1521" s="19">
        <v>0.85399999999999998</v>
      </c>
      <c r="K1521" s="16">
        <v>77.7</v>
      </c>
      <c r="L1521" s="19">
        <v>0.89200000000000002</v>
      </c>
      <c r="M1521" s="19">
        <v>2.3E-2</v>
      </c>
      <c r="N1521" s="21">
        <v>74000.77</v>
      </c>
      <c r="O1521" s="21">
        <v>50321.22</v>
      </c>
      <c r="P1521" s="26">
        <v>23679.55</v>
      </c>
    </row>
    <row r="1522" spans="1:16" x14ac:dyDescent="0.3">
      <c r="A1522" s="25">
        <v>1521</v>
      </c>
      <c r="B1522" s="16" t="s">
        <v>63</v>
      </c>
      <c r="C1522" s="16">
        <v>2025</v>
      </c>
      <c r="D1522" s="16" t="s">
        <v>40</v>
      </c>
      <c r="E1522" s="16" t="s">
        <v>30</v>
      </c>
      <c r="F1522" s="16" t="s">
        <v>29</v>
      </c>
      <c r="G1522" s="16">
        <v>17</v>
      </c>
      <c r="H1522" s="16">
        <v>1967</v>
      </c>
      <c r="I1522" s="16">
        <v>383.5</v>
      </c>
      <c r="J1522" s="19">
        <v>0.73699999999999999</v>
      </c>
      <c r="K1522" s="16">
        <v>77.8</v>
      </c>
      <c r="L1522" s="19">
        <v>0.91600000000000004</v>
      </c>
      <c r="M1522" s="19">
        <v>4.2999999999999997E-2</v>
      </c>
      <c r="N1522" s="21">
        <v>28212.880000000001</v>
      </c>
      <c r="O1522" s="21">
        <v>18848.59</v>
      </c>
      <c r="P1522" s="26">
        <v>9364.2900000000009</v>
      </c>
    </row>
    <row r="1523" spans="1:16" x14ac:dyDescent="0.3">
      <c r="A1523" s="25">
        <v>1522</v>
      </c>
      <c r="B1523" s="16" t="s">
        <v>63</v>
      </c>
      <c r="C1523" s="16">
        <v>2025</v>
      </c>
      <c r="D1523" s="16" t="s">
        <v>40</v>
      </c>
      <c r="E1523" s="16" t="s">
        <v>35</v>
      </c>
      <c r="F1523" s="16" t="s">
        <v>29</v>
      </c>
      <c r="G1523" s="16">
        <v>50</v>
      </c>
      <c r="H1523" s="16">
        <v>7358</v>
      </c>
      <c r="I1523" s="16">
        <v>331.4</v>
      </c>
      <c r="J1523" s="19">
        <v>0.65800000000000003</v>
      </c>
      <c r="K1523" s="16">
        <v>79.3</v>
      </c>
      <c r="L1523" s="19">
        <v>0.84</v>
      </c>
      <c r="M1523" s="19">
        <v>3.1E-2</v>
      </c>
      <c r="N1523" s="21">
        <v>63881.94</v>
      </c>
      <c r="O1523" s="21">
        <v>43867.38</v>
      </c>
      <c r="P1523" s="26">
        <v>20014.560000000001</v>
      </c>
    </row>
    <row r="1524" spans="1:16" x14ac:dyDescent="0.3">
      <c r="A1524" s="25">
        <v>1523</v>
      </c>
      <c r="B1524" s="16" t="s">
        <v>63</v>
      </c>
      <c r="C1524" s="16">
        <v>2025</v>
      </c>
      <c r="D1524" s="16" t="s">
        <v>40</v>
      </c>
      <c r="E1524" s="16" t="s">
        <v>32</v>
      </c>
      <c r="F1524" s="16" t="s">
        <v>33</v>
      </c>
      <c r="G1524" s="16">
        <v>72</v>
      </c>
      <c r="H1524" s="16">
        <v>11629</v>
      </c>
      <c r="I1524" s="16">
        <v>499.1</v>
      </c>
      <c r="J1524" s="19">
        <v>0.73</v>
      </c>
      <c r="K1524" s="16">
        <v>81.900000000000006</v>
      </c>
      <c r="L1524" s="19">
        <v>0.94799999999999995</v>
      </c>
      <c r="M1524" s="19">
        <v>5.1999999999999998E-2</v>
      </c>
      <c r="N1524" s="21">
        <v>99259.66</v>
      </c>
      <c r="O1524" s="21">
        <v>70695.19</v>
      </c>
      <c r="P1524" s="26">
        <v>28564.47</v>
      </c>
    </row>
    <row r="1525" spans="1:16" x14ac:dyDescent="0.3">
      <c r="A1525" s="25">
        <v>1524</v>
      </c>
      <c r="B1525" s="16" t="s">
        <v>63</v>
      </c>
      <c r="C1525" s="16">
        <v>2025</v>
      </c>
      <c r="D1525" s="16" t="s">
        <v>40</v>
      </c>
      <c r="E1525" s="16" t="s">
        <v>27</v>
      </c>
      <c r="F1525" s="16" t="s">
        <v>33</v>
      </c>
      <c r="G1525" s="16">
        <v>26</v>
      </c>
      <c r="H1525" s="16">
        <v>3642</v>
      </c>
      <c r="I1525" s="16">
        <v>509.1</v>
      </c>
      <c r="J1525" s="19">
        <v>0.83</v>
      </c>
      <c r="K1525" s="16">
        <v>96.8</v>
      </c>
      <c r="L1525" s="19">
        <v>0.93700000000000006</v>
      </c>
      <c r="M1525" s="19">
        <v>3.5000000000000003E-2</v>
      </c>
      <c r="N1525" s="21">
        <v>36746.99</v>
      </c>
      <c r="O1525" s="21">
        <v>28357.87</v>
      </c>
      <c r="P1525" s="26">
        <v>8389.1200000000008</v>
      </c>
    </row>
    <row r="1526" spans="1:16" x14ac:dyDescent="0.3">
      <c r="A1526" s="25">
        <v>1525</v>
      </c>
      <c r="B1526" s="16" t="s">
        <v>63</v>
      </c>
      <c r="C1526" s="16">
        <v>2025</v>
      </c>
      <c r="D1526" s="16" t="s">
        <v>40</v>
      </c>
      <c r="E1526" s="16" t="s">
        <v>30</v>
      </c>
      <c r="F1526" s="16" t="s">
        <v>33</v>
      </c>
      <c r="G1526" s="16">
        <v>34</v>
      </c>
      <c r="H1526" s="16">
        <v>3971</v>
      </c>
      <c r="I1526" s="16">
        <v>495.6</v>
      </c>
      <c r="J1526" s="19">
        <v>0.81599999999999995</v>
      </c>
      <c r="K1526" s="16">
        <v>88.9</v>
      </c>
      <c r="L1526" s="19">
        <v>0.97299999999999998</v>
      </c>
      <c r="M1526" s="19">
        <v>3.5999999999999997E-2</v>
      </c>
      <c r="N1526" s="21">
        <v>72572.460000000006</v>
      </c>
      <c r="O1526" s="21">
        <v>45482.83</v>
      </c>
      <c r="P1526" s="26">
        <v>27089.63</v>
      </c>
    </row>
    <row r="1527" spans="1:16" x14ac:dyDescent="0.3">
      <c r="A1527" s="25">
        <v>1526</v>
      </c>
      <c r="B1527" s="16" t="s">
        <v>63</v>
      </c>
      <c r="C1527" s="16">
        <v>2025</v>
      </c>
      <c r="D1527" s="16" t="s">
        <v>40</v>
      </c>
      <c r="E1527" s="16" t="s">
        <v>35</v>
      </c>
      <c r="F1527" s="16" t="s">
        <v>33</v>
      </c>
      <c r="G1527" s="16">
        <v>35</v>
      </c>
      <c r="H1527" s="16">
        <v>3610</v>
      </c>
      <c r="I1527" s="16">
        <v>493.7</v>
      </c>
      <c r="J1527" s="19">
        <v>0.80500000000000005</v>
      </c>
      <c r="K1527" s="16">
        <v>77.3</v>
      </c>
      <c r="L1527" s="19">
        <v>0.88</v>
      </c>
      <c r="M1527" s="19">
        <v>4.2999999999999997E-2</v>
      </c>
      <c r="N1527" s="21">
        <v>55173.33</v>
      </c>
      <c r="O1527" s="21">
        <v>34676.65</v>
      </c>
      <c r="P1527" s="26">
        <v>20496.68</v>
      </c>
    </row>
    <row r="1528" spans="1:16" x14ac:dyDescent="0.3">
      <c r="A1528" s="25">
        <v>1527</v>
      </c>
      <c r="B1528" s="16" t="s">
        <v>63</v>
      </c>
      <c r="C1528" s="16">
        <v>2025</v>
      </c>
      <c r="D1528" s="16" t="s">
        <v>40</v>
      </c>
      <c r="E1528" s="16" t="s">
        <v>34</v>
      </c>
      <c r="F1528" s="16" t="s">
        <v>36</v>
      </c>
      <c r="G1528" s="16">
        <v>60</v>
      </c>
      <c r="H1528" s="16">
        <v>7679</v>
      </c>
      <c r="I1528" s="16">
        <v>932.9</v>
      </c>
      <c r="J1528" s="19">
        <v>0.70099999999999996</v>
      </c>
      <c r="K1528" s="16">
        <v>90.7</v>
      </c>
      <c r="L1528" s="19">
        <v>0.98599999999999999</v>
      </c>
      <c r="M1528" s="19">
        <v>4.5999999999999999E-2</v>
      </c>
      <c r="N1528" s="21">
        <v>98244.14</v>
      </c>
      <c r="O1528" s="21">
        <v>63223.96</v>
      </c>
      <c r="P1528" s="26">
        <v>35020.18</v>
      </c>
    </row>
    <row r="1529" spans="1:16" x14ac:dyDescent="0.3">
      <c r="A1529" s="25">
        <v>1528</v>
      </c>
      <c r="B1529" s="16" t="s">
        <v>63</v>
      </c>
      <c r="C1529" s="16">
        <v>2025</v>
      </c>
      <c r="D1529" s="16" t="s">
        <v>40</v>
      </c>
      <c r="E1529" s="16" t="s">
        <v>35</v>
      </c>
      <c r="F1529" s="16" t="s">
        <v>37</v>
      </c>
      <c r="G1529" s="16">
        <v>43</v>
      </c>
      <c r="H1529" s="16">
        <v>5934</v>
      </c>
      <c r="I1529" s="16">
        <v>658.3</v>
      </c>
      <c r="J1529" s="19">
        <v>0.73899999999999999</v>
      </c>
      <c r="K1529" s="16">
        <v>79.400000000000006</v>
      </c>
      <c r="L1529" s="19">
        <v>0.88800000000000001</v>
      </c>
      <c r="M1529" s="19">
        <v>2.5000000000000001E-2</v>
      </c>
      <c r="N1529" s="21">
        <v>58848.52</v>
      </c>
      <c r="O1529" s="21">
        <v>36975.980000000003</v>
      </c>
      <c r="P1529" s="26">
        <v>21872.54</v>
      </c>
    </row>
    <row r="1530" spans="1:16" x14ac:dyDescent="0.3">
      <c r="A1530" s="25">
        <v>1529</v>
      </c>
      <c r="B1530" s="16" t="s">
        <v>63</v>
      </c>
      <c r="C1530" s="16">
        <v>2025</v>
      </c>
      <c r="D1530" s="16" t="s">
        <v>41</v>
      </c>
      <c r="E1530" s="16" t="s">
        <v>27</v>
      </c>
      <c r="F1530" s="16" t="s">
        <v>28</v>
      </c>
      <c r="G1530" s="16">
        <v>78</v>
      </c>
      <c r="H1530" s="16">
        <v>13609</v>
      </c>
      <c r="I1530" s="16">
        <v>396.8</v>
      </c>
      <c r="J1530" s="19">
        <v>0.71299999999999997</v>
      </c>
      <c r="K1530" s="16">
        <v>85.7</v>
      </c>
      <c r="L1530" s="19">
        <v>0.871</v>
      </c>
      <c r="M1530" s="19">
        <v>4.2000000000000003E-2</v>
      </c>
      <c r="N1530" s="21">
        <v>156336.39000000001</v>
      </c>
      <c r="O1530" s="21">
        <v>105404.32</v>
      </c>
      <c r="P1530" s="26">
        <v>50932.07</v>
      </c>
    </row>
    <row r="1531" spans="1:16" x14ac:dyDescent="0.3">
      <c r="A1531" s="25">
        <v>1530</v>
      </c>
      <c r="B1531" s="16" t="s">
        <v>63</v>
      </c>
      <c r="C1531" s="16">
        <v>2025</v>
      </c>
      <c r="D1531" s="16" t="s">
        <v>41</v>
      </c>
      <c r="E1531" s="16" t="s">
        <v>30</v>
      </c>
      <c r="F1531" s="16" t="s">
        <v>28</v>
      </c>
      <c r="G1531" s="16">
        <v>38</v>
      </c>
      <c r="H1531" s="16">
        <v>6125</v>
      </c>
      <c r="I1531" s="16">
        <v>426.1</v>
      </c>
      <c r="J1531" s="19">
        <v>0.73899999999999999</v>
      </c>
      <c r="K1531" s="16">
        <v>84.2</v>
      </c>
      <c r="L1531" s="19">
        <v>0.80600000000000005</v>
      </c>
      <c r="M1531" s="19">
        <v>2.9000000000000001E-2</v>
      </c>
      <c r="N1531" s="21">
        <v>76731.22</v>
      </c>
      <c r="O1531" s="21">
        <v>52888.65</v>
      </c>
      <c r="P1531" s="26">
        <v>23842.57</v>
      </c>
    </row>
    <row r="1532" spans="1:16" x14ac:dyDescent="0.3">
      <c r="A1532" s="25">
        <v>1531</v>
      </c>
      <c r="B1532" s="16" t="s">
        <v>63</v>
      </c>
      <c r="C1532" s="16">
        <v>2025</v>
      </c>
      <c r="D1532" s="16" t="s">
        <v>41</v>
      </c>
      <c r="E1532" s="16" t="s">
        <v>27</v>
      </c>
      <c r="F1532" s="16" t="s">
        <v>29</v>
      </c>
      <c r="G1532" s="16">
        <v>31</v>
      </c>
      <c r="H1532" s="16">
        <v>4879</v>
      </c>
      <c r="I1532" s="16">
        <v>273.60000000000002</v>
      </c>
      <c r="J1532" s="19">
        <v>0.60299999999999998</v>
      </c>
      <c r="K1532" s="16">
        <v>85.5</v>
      </c>
      <c r="L1532" s="19">
        <v>0.81299999999999994</v>
      </c>
      <c r="M1532" s="19">
        <v>0.02</v>
      </c>
      <c r="N1532" s="21">
        <v>60879.17</v>
      </c>
      <c r="O1532" s="21">
        <v>40789.83</v>
      </c>
      <c r="P1532" s="26">
        <v>20089.34</v>
      </c>
    </row>
    <row r="1533" spans="1:16" x14ac:dyDescent="0.3">
      <c r="A1533" s="25">
        <v>1532</v>
      </c>
      <c r="B1533" s="16" t="s">
        <v>63</v>
      </c>
      <c r="C1533" s="16">
        <v>2025</v>
      </c>
      <c r="D1533" s="16" t="s">
        <v>41</v>
      </c>
      <c r="E1533" s="16" t="s">
        <v>30</v>
      </c>
      <c r="F1533" s="16" t="s">
        <v>29</v>
      </c>
      <c r="G1533" s="16">
        <v>49</v>
      </c>
      <c r="H1533" s="16">
        <v>7710</v>
      </c>
      <c r="I1533" s="16">
        <v>338.9</v>
      </c>
      <c r="J1533" s="19">
        <v>0.60499999999999998</v>
      </c>
      <c r="K1533" s="16">
        <v>84.8</v>
      </c>
      <c r="L1533" s="19">
        <v>0.88900000000000001</v>
      </c>
      <c r="M1533" s="19">
        <v>2.5000000000000001E-2</v>
      </c>
      <c r="N1533" s="21">
        <v>79725.83</v>
      </c>
      <c r="O1533" s="21">
        <v>61890.99</v>
      </c>
      <c r="P1533" s="26">
        <v>17834.84</v>
      </c>
    </row>
    <row r="1534" spans="1:16" x14ac:dyDescent="0.3">
      <c r="A1534" s="25">
        <v>1533</v>
      </c>
      <c r="B1534" s="16" t="s">
        <v>63</v>
      </c>
      <c r="C1534" s="16">
        <v>2025</v>
      </c>
      <c r="D1534" s="16" t="s">
        <v>41</v>
      </c>
      <c r="E1534" s="16" t="s">
        <v>34</v>
      </c>
      <c r="F1534" s="16" t="s">
        <v>29</v>
      </c>
      <c r="G1534" s="16">
        <v>49</v>
      </c>
      <c r="H1534" s="16">
        <v>7918</v>
      </c>
      <c r="I1534" s="16">
        <v>319.5</v>
      </c>
      <c r="J1534" s="19">
        <v>0.56000000000000005</v>
      </c>
      <c r="K1534" s="16">
        <v>76.2</v>
      </c>
      <c r="L1534" s="19">
        <v>1</v>
      </c>
      <c r="M1534" s="19">
        <v>2.5999999999999999E-2</v>
      </c>
      <c r="N1534" s="21">
        <v>65516.38</v>
      </c>
      <c r="O1534" s="21">
        <v>41363.51</v>
      </c>
      <c r="P1534" s="26">
        <v>24152.87</v>
      </c>
    </row>
    <row r="1535" spans="1:16" x14ac:dyDescent="0.3">
      <c r="A1535" s="25">
        <v>1534</v>
      </c>
      <c r="B1535" s="16" t="s">
        <v>63</v>
      </c>
      <c r="C1535" s="16">
        <v>2025</v>
      </c>
      <c r="D1535" s="16" t="s">
        <v>41</v>
      </c>
      <c r="E1535" s="16" t="s">
        <v>32</v>
      </c>
      <c r="F1535" s="16" t="s">
        <v>33</v>
      </c>
      <c r="G1535" s="16">
        <v>40</v>
      </c>
      <c r="H1535" s="16">
        <v>6051</v>
      </c>
      <c r="I1535" s="16">
        <v>536</v>
      </c>
      <c r="J1535" s="19">
        <v>0.76700000000000002</v>
      </c>
      <c r="K1535" s="16">
        <v>84</v>
      </c>
      <c r="L1535" s="19">
        <v>0.90500000000000003</v>
      </c>
      <c r="M1535" s="19">
        <v>5.8000000000000003E-2</v>
      </c>
      <c r="N1535" s="21">
        <v>69227.44</v>
      </c>
      <c r="O1535" s="21">
        <v>47455.46</v>
      </c>
      <c r="P1535" s="26">
        <v>21771.98</v>
      </c>
    </row>
    <row r="1536" spans="1:16" x14ac:dyDescent="0.3">
      <c r="A1536" s="25">
        <v>1535</v>
      </c>
      <c r="B1536" s="16" t="s">
        <v>63</v>
      </c>
      <c r="C1536" s="16">
        <v>2025</v>
      </c>
      <c r="D1536" s="16" t="s">
        <v>41</v>
      </c>
      <c r="E1536" s="16" t="s">
        <v>27</v>
      </c>
      <c r="F1536" s="16" t="s">
        <v>33</v>
      </c>
      <c r="G1536" s="16">
        <v>76</v>
      </c>
      <c r="H1536" s="16">
        <v>10023</v>
      </c>
      <c r="I1536" s="16">
        <v>537.20000000000005</v>
      </c>
      <c r="J1536" s="19">
        <v>0.752</v>
      </c>
      <c r="K1536" s="16">
        <v>94.5</v>
      </c>
      <c r="L1536" s="19">
        <v>0.83199999999999996</v>
      </c>
      <c r="M1536" s="19">
        <v>4.9000000000000002E-2</v>
      </c>
      <c r="N1536" s="21">
        <v>165205.51</v>
      </c>
      <c r="O1536" s="21">
        <v>111994.91</v>
      </c>
      <c r="P1536" s="26">
        <v>53210.6</v>
      </c>
    </row>
    <row r="1537" spans="1:16" x14ac:dyDescent="0.3">
      <c r="A1537" s="25">
        <v>1536</v>
      </c>
      <c r="B1537" s="16" t="s">
        <v>63</v>
      </c>
      <c r="C1537" s="16">
        <v>2025</v>
      </c>
      <c r="D1537" s="16" t="s">
        <v>41</v>
      </c>
      <c r="E1537" s="16" t="s">
        <v>34</v>
      </c>
      <c r="F1537" s="16" t="s">
        <v>33</v>
      </c>
      <c r="G1537" s="16">
        <v>59</v>
      </c>
      <c r="H1537" s="16">
        <v>8878</v>
      </c>
      <c r="I1537" s="16">
        <v>532.70000000000005</v>
      </c>
      <c r="J1537" s="19">
        <v>0.77100000000000002</v>
      </c>
      <c r="K1537" s="16">
        <v>87.8</v>
      </c>
      <c r="L1537" s="19">
        <v>0.94899999999999995</v>
      </c>
      <c r="M1537" s="19">
        <v>5.0999999999999997E-2</v>
      </c>
      <c r="N1537" s="21">
        <v>119580.35</v>
      </c>
      <c r="O1537" s="21">
        <v>78439.58</v>
      </c>
      <c r="P1537" s="26">
        <v>41140.769999999997</v>
      </c>
    </row>
    <row r="1538" spans="1:16" x14ac:dyDescent="0.3">
      <c r="A1538" s="25">
        <v>1537</v>
      </c>
      <c r="B1538" s="16" t="s">
        <v>63</v>
      </c>
      <c r="C1538" s="16">
        <v>2025</v>
      </c>
      <c r="D1538" s="16" t="s">
        <v>41</v>
      </c>
      <c r="E1538" s="16" t="s">
        <v>27</v>
      </c>
      <c r="F1538" s="16" t="s">
        <v>36</v>
      </c>
      <c r="G1538" s="16">
        <v>29</v>
      </c>
      <c r="H1538" s="16">
        <v>3492</v>
      </c>
      <c r="I1538" s="16">
        <v>901.9</v>
      </c>
      <c r="J1538" s="19">
        <v>0.76900000000000002</v>
      </c>
      <c r="K1538" s="16">
        <v>92.6</v>
      </c>
      <c r="L1538" s="19">
        <v>1</v>
      </c>
      <c r="M1538" s="19">
        <v>3.1E-2</v>
      </c>
      <c r="N1538" s="21">
        <v>53757.41</v>
      </c>
      <c r="O1538" s="21">
        <v>34066.239999999998</v>
      </c>
      <c r="P1538" s="26">
        <v>19691.169999999998</v>
      </c>
    </row>
    <row r="1539" spans="1:16" x14ac:dyDescent="0.3">
      <c r="A1539" s="25">
        <v>1538</v>
      </c>
      <c r="B1539" s="16" t="s">
        <v>63</v>
      </c>
      <c r="C1539" s="16">
        <v>2025</v>
      </c>
      <c r="D1539" s="16" t="s">
        <v>41</v>
      </c>
      <c r="E1539" s="16" t="s">
        <v>35</v>
      </c>
      <c r="F1539" s="16" t="s">
        <v>36</v>
      </c>
      <c r="G1539" s="16">
        <v>50</v>
      </c>
      <c r="H1539" s="16">
        <v>7374</v>
      </c>
      <c r="I1539" s="16">
        <v>864.1</v>
      </c>
      <c r="J1539" s="19">
        <v>0.79500000000000004</v>
      </c>
      <c r="K1539" s="16">
        <v>88.2</v>
      </c>
      <c r="L1539" s="19">
        <v>0.82099999999999995</v>
      </c>
      <c r="M1539" s="19">
        <v>2.7E-2</v>
      </c>
      <c r="N1539" s="21">
        <v>114831.9</v>
      </c>
      <c r="O1539" s="21">
        <v>80394.58</v>
      </c>
      <c r="P1539" s="26">
        <v>34437.32</v>
      </c>
    </row>
    <row r="1540" spans="1:16" x14ac:dyDescent="0.3">
      <c r="A1540" s="25">
        <v>1539</v>
      </c>
      <c r="B1540" s="16" t="s">
        <v>63</v>
      </c>
      <c r="C1540" s="16">
        <v>2025</v>
      </c>
      <c r="D1540" s="16" t="s">
        <v>41</v>
      </c>
      <c r="E1540" s="16" t="s">
        <v>32</v>
      </c>
      <c r="F1540" s="16" t="s">
        <v>37</v>
      </c>
      <c r="G1540" s="16">
        <v>28</v>
      </c>
      <c r="H1540" s="16">
        <v>5003</v>
      </c>
      <c r="I1540" s="16">
        <v>645.4</v>
      </c>
      <c r="J1540" s="19">
        <v>0.64</v>
      </c>
      <c r="K1540" s="16">
        <v>83.8</v>
      </c>
      <c r="L1540" s="19">
        <v>0.89</v>
      </c>
      <c r="M1540" s="19">
        <v>3.4000000000000002E-2</v>
      </c>
      <c r="N1540" s="21">
        <v>24919.01</v>
      </c>
      <c r="O1540" s="21">
        <v>18974.75</v>
      </c>
      <c r="P1540" s="26">
        <v>5944.26</v>
      </c>
    </row>
    <row r="1541" spans="1:16" x14ac:dyDescent="0.3">
      <c r="A1541" s="25">
        <v>1540</v>
      </c>
      <c r="B1541" s="16" t="s">
        <v>63</v>
      </c>
      <c r="C1541" s="16">
        <v>2025</v>
      </c>
      <c r="D1541" s="16" t="s">
        <v>41</v>
      </c>
      <c r="E1541" s="16" t="s">
        <v>27</v>
      </c>
      <c r="F1541" s="16" t="s">
        <v>37</v>
      </c>
      <c r="G1541" s="16">
        <v>34</v>
      </c>
      <c r="H1541" s="16">
        <v>6013</v>
      </c>
      <c r="I1541" s="16">
        <v>695</v>
      </c>
      <c r="J1541" s="19">
        <v>0.70799999999999996</v>
      </c>
      <c r="K1541" s="16">
        <v>78.900000000000006</v>
      </c>
      <c r="L1541" s="19">
        <v>0.92100000000000004</v>
      </c>
      <c r="M1541" s="19">
        <v>3.3000000000000002E-2</v>
      </c>
      <c r="N1541" s="21">
        <v>59652.37</v>
      </c>
      <c r="O1541" s="21">
        <v>40335.86</v>
      </c>
      <c r="P1541" s="26">
        <v>19316.509999999998</v>
      </c>
    </row>
    <row r="1542" spans="1:16" x14ac:dyDescent="0.3">
      <c r="A1542" s="25">
        <v>1541</v>
      </c>
      <c r="B1542" s="16" t="s">
        <v>63</v>
      </c>
      <c r="C1542" s="16">
        <v>2025</v>
      </c>
      <c r="D1542" s="16" t="s">
        <v>41</v>
      </c>
      <c r="E1542" s="16" t="s">
        <v>30</v>
      </c>
      <c r="F1542" s="16" t="s">
        <v>37</v>
      </c>
      <c r="G1542" s="16">
        <v>45</v>
      </c>
      <c r="H1542" s="16">
        <v>6105</v>
      </c>
      <c r="I1542" s="16">
        <v>642</v>
      </c>
      <c r="J1542" s="19">
        <v>0.67100000000000004</v>
      </c>
      <c r="K1542" s="16">
        <v>83.1</v>
      </c>
      <c r="L1542" s="19">
        <v>0.95499999999999996</v>
      </c>
      <c r="M1542" s="19">
        <v>2.8000000000000001E-2</v>
      </c>
      <c r="N1542" s="21">
        <v>92661.75</v>
      </c>
      <c r="O1542" s="21">
        <v>67012.710000000006</v>
      </c>
      <c r="P1542" s="26">
        <v>25649.040000000001</v>
      </c>
    </row>
    <row r="1543" spans="1:16" x14ac:dyDescent="0.3">
      <c r="A1543" s="25">
        <v>1542</v>
      </c>
      <c r="B1543" s="16" t="s">
        <v>63</v>
      </c>
      <c r="C1543" s="16">
        <v>2025</v>
      </c>
      <c r="D1543" s="16" t="s">
        <v>41</v>
      </c>
      <c r="E1543" s="16" t="s">
        <v>35</v>
      </c>
      <c r="F1543" s="16" t="s">
        <v>37</v>
      </c>
      <c r="G1543" s="16">
        <v>44</v>
      </c>
      <c r="H1543" s="16">
        <v>6743</v>
      </c>
      <c r="I1543" s="16">
        <v>593.79999999999995</v>
      </c>
      <c r="J1543" s="19">
        <v>0.67500000000000004</v>
      </c>
      <c r="K1543" s="16">
        <v>86.6</v>
      </c>
      <c r="L1543" s="19">
        <v>0.81100000000000005</v>
      </c>
      <c r="M1543" s="19">
        <v>2.3E-2</v>
      </c>
      <c r="N1543" s="21">
        <v>77532.960000000006</v>
      </c>
      <c r="O1543" s="21">
        <v>51916.07</v>
      </c>
      <c r="P1543" s="26">
        <v>25616.89</v>
      </c>
    </row>
    <row r="1544" spans="1:16" x14ac:dyDescent="0.3">
      <c r="A1544" s="25">
        <v>1543</v>
      </c>
      <c r="B1544" s="16" t="s">
        <v>64</v>
      </c>
      <c r="C1544" s="16">
        <v>2025</v>
      </c>
      <c r="D1544" s="16" t="s">
        <v>26</v>
      </c>
      <c r="E1544" s="16" t="s">
        <v>32</v>
      </c>
      <c r="F1544" s="16" t="s">
        <v>28</v>
      </c>
      <c r="G1544" s="16">
        <v>85</v>
      </c>
      <c r="H1544" s="16">
        <v>12387</v>
      </c>
      <c r="I1544" s="16">
        <v>392.5</v>
      </c>
      <c r="J1544" s="19">
        <v>0.76800000000000002</v>
      </c>
      <c r="K1544" s="16">
        <v>89.8</v>
      </c>
      <c r="L1544" s="19">
        <v>0.94599999999999995</v>
      </c>
      <c r="M1544" s="19">
        <v>2.1000000000000001E-2</v>
      </c>
      <c r="N1544" s="21">
        <v>102786.98</v>
      </c>
      <c r="O1544" s="21">
        <v>66212.91</v>
      </c>
      <c r="P1544" s="26">
        <v>36574.07</v>
      </c>
    </row>
    <row r="1545" spans="1:16" x14ac:dyDescent="0.3">
      <c r="A1545" s="25">
        <v>1544</v>
      </c>
      <c r="B1545" s="16" t="s">
        <v>64</v>
      </c>
      <c r="C1545" s="16">
        <v>2025</v>
      </c>
      <c r="D1545" s="16" t="s">
        <v>26</v>
      </c>
      <c r="E1545" s="16" t="s">
        <v>27</v>
      </c>
      <c r="F1545" s="16" t="s">
        <v>33</v>
      </c>
      <c r="G1545" s="16">
        <v>16</v>
      </c>
      <c r="H1545" s="16">
        <v>2732</v>
      </c>
      <c r="I1545" s="16">
        <v>421.9</v>
      </c>
      <c r="J1545" s="19">
        <v>0.69199999999999995</v>
      </c>
      <c r="K1545" s="16">
        <v>88.4</v>
      </c>
      <c r="L1545" s="19">
        <v>0.84399999999999997</v>
      </c>
      <c r="M1545" s="19">
        <v>4.1000000000000002E-2</v>
      </c>
      <c r="N1545" s="21">
        <v>14729.87</v>
      </c>
      <c r="O1545" s="21">
        <v>11268.41</v>
      </c>
      <c r="P1545" s="26">
        <v>3461.46</v>
      </c>
    </row>
    <row r="1546" spans="1:16" x14ac:dyDescent="0.3">
      <c r="A1546" s="25">
        <v>1545</v>
      </c>
      <c r="B1546" s="16" t="s">
        <v>64</v>
      </c>
      <c r="C1546" s="16">
        <v>2025</v>
      </c>
      <c r="D1546" s="16" t="s">
        <v>26</v>
      </c>
      <c r="E1546" s="16" t="s">
        <v>30</v>
      </c>
      <c r="F1546" s="16" t="s">
        <v>33</v>
      </c>
      <c r="G1546" s="16">
        <v>74</v>
      </c>
      <c r="H1546" s="16">
        <v>8151</v>
      </c>
      <c r="I1546" s="16">
        <v>484.7</v>
      </c>
      <c r="J1546" s="19">
        <v>0.79500000000000004</v>
      </c>
      <c r="K1546" s="16">
        <v>81.900000000000006</v>
      </c>
      <c r="L1546" s="19">
        <v>0.84499999999999997</v>
      </c>
      <c r="M1546" s="19">
        <v>2.1999999999999999E-2</v>
      </c>
      <c r="N1546" s="21">
        <v>98547.09</v>
      </c>
      <c r="O1546" s="21">
        <v>72826.5</v>
      </c>
      <c r="P1546" s="26">
        <v>25720.59</v>
      </c>
    </row>
    <row r="1547" spans="1:16" x14ac:dyDescent="0.3">
      <c r="A1547" s="25">
        <v>1546</v>
      </c>
      <c r="B1547" s="16" t="s">
        <v>64</v>
      </c>
      <c r="C1547" s="16">
        <v>2025</v>
      </c>
      <c r="D1547" s="16" t="s">
        <v>26</v>
      </c>
      <c r="E1547" s="16" t="s">
        <v>35</v>
      </c>
      <c r="F1547" s="16" t="s">
        <v>33</v>
      </c>
      <c r="G1547" s="16">
        <v>69</v>
      </c>
      <c r="H1547" s="16">
        <v>10880</v>
      </c>
      <c r="I1547" s="16">
        <v>493.6</v>
      </c>
      <c r="J1547" s="19">
        <v>0.73299999999999998</v>
      </c>
      <c r="K1547" s="16">
        <v>85.8</v>
      </c>
      <c r="L1547" s="19">
        <v>0.93899999999999995</v>
      </c>
      <c r="M1547" s="19">
        <v>4.2999999999999997E-2</v>
      </c>
      <c r="N1547" s="21">
        <v>86281.13</v>
      </c>
      <c r="O1547" s="21">
        <v>60466.21</v>
      </c>
      <c r="P1547" s="26">
        <v>25814.92</v>
      </c>
    </row>
    <row r="1548" spans="1:16" x14ac:dyDescent="0.3">
      <c r="A1548" s="25">
        <v>1547</v>
      </c>
      <c r="B1548" s="16" t="s">
        <v>64</v>
      </c>
      <c r="C1548" s="16">
        <v>2025</v>
      </c>
      <c r="D1548" s="16" t="s">
        <v>26</v>
      </c>
      <c r="E1548" s="16" t="s">
        <v>30</v>
      </c>
      <c r="F1548" s="16" t="s">
        <v>37</v>
      </c>
      <c r="G1548" s="16">
        <v>72</v>
      </c>
      <c r="H1548" s="16">
        <v>12286</v>
      </c>
      <c r="I1548" s="16">
        <v>665</v>
      </c>
      <c r="J1548" s="19">
        <v>0.70399999999999996</v>
      </c>
      <c r="K1548" s="16">
        <v>78.099999999999994</v>
      </c>
      <c r="L1548" s="19">
        <v>0.95799999999999996</v>
      </c>
      <c r="M1548" s="19">
        <v>2.5999999999999999E-2</v>
      </c>
      <c r="N1548" s="21">
        <v>86596.85</v>
      </c>
      <c r="O1548" s="21">
        <v>61448.3</v>
      </c>
      <c r="P1548" s="26">
        <v>25148.55</v>
      </c>
    </row>
    <row r="1549" spans="1:16" x14ac:dyDescent="0.3">
      <c r="A1549" s="25">
        <v>1548</v>
      </c>
      <c r="B1549" s="16" t="s">
        <v>64</v>
      </c>
      <c r="C1549" s="16">
        <v>2025</v>
      </c>
      <c r="D1549" s="16" t="s">
        <v>26</v>
      </c>
      <c r="E1549" s="16" t="s">
        <v>31</v>
      </c>
      <c r="F1549" s="16" t="s">
        <v>37</v>
      </c>
      <c r="G1549" s="16">
        <v>28</v>
      </c>
      <c r="H1549" s="16">
        <v>4492</v>
      </c>
      <c r="I1549" s="16">
        <v>693.2</v>
      </c>
      <c r="J1549" s="19">
        <v>0.68899999999999995</v>
      </c>
      <c r="K1549" s="16">
        <v>81.400000000000006</v>
      </c>
      <c r="L1549" s="19">
        <v>0.85599999999999998</v>
      </c>
      <c r="M1549" s="19">
        <v>4.9000000000000002E-2</v>
      </c>
      <c r="N1549" s="21">
        <v>32511.8</v>
      </c>
      <c r="O1549" s="21">
        <v>22600.38</v>
      </c>
      <c r="P1549" s="26">
        <v>9911.42</v>
      </c>
    </row>
    <row r="1550" spans="1:16" x14ac:dyDescent="0.3">
      <c r="A1550" s="25">
        <v>1549</v>
      </c>
      <c r="B1550" s="16" t="s">
        <v>64</v>
      </c>
      <c r="C1550" s="16">
        <v>2025</v>
      </c>
      <c r="D1550" s="16" t="s">
        <v>26</v>
      </c>
      <c r="E1550" s="16" t="s">
        <v>35</v>
      </c>
      <c r="F1550" s="16" t="s">
        <v>37</v>
      </c>
      <c r="G1550" s="16">
        <v>28</v>
      </c>
      <c r="H1550" s="16">
        <v>4105</v>
      </c>
      <c r="I1550" s="16">
        <v>622.5</v>
      </c>
      <c r="J1550" s="19">
        <v>0.70099999999999996</v>
      </c>
      <c r="K1550" s="16">
        <v>75.5</v>
      </c>
      <c r="L1550" s="19">
        <v>0.85599999999999998</v>
      </c>
      <c r="M1550" s="19">
        <v>4.1000000000000002E-2</v>
      </c>
      <c r="N1550" s="21">
        <v>24104.41</v>
      </c>
      <c r="O1550" s="21">
        <v>17689.419999999998</v>
      </c>
      <c r="P1550" s="26">
        <v>6414.99</v>
      </c>
    </row>
    <row r="1551" spans="1:16" x14ac:dyDescent="0.3">
      <c r="A1551" s="25">
        <v>1550</v>
      </c>
      <c r="B1551" s="16" t="s">
        <v>64</v>
      </c>
      <c r="C1551" s="16">
        <v>2025</v>
      </c>
      <c r="D1551" s="16" t="s">
        <v>38</v>
      </c>
      <c r="E1551" s="16" t="s">
        <v>32</v>
      </c>
      <c r="F1551" s="16" t="s">
        <v>28</v>
      </c>
      <c r="G1551" s="16">
        <v>58</v>
      </c>
      <c r="H1551" s="16">
        <v>8499</v>
      </c>
      <c r="I1551" s="16">
        <v>388.8</v>
      </c>
      <c r="J1551" s="19">
        <v>0.80400000000000005</v>
      </c>
      <c r="K1551" s="16">
        <v>91.6</v>
      </c>
      <c r="L1551" s="19">
        <v>0.92500000000000004</v>
      </c>
      <c r="M1551" s="19">
        <v>4.2000000000000003E-2</v>
      </c>
      <c r="N1551" s="21">
        <v>80822.14</v>
      </c>
      <c r="O1551" s="21">
        <v>50794.73</v>
      </c>
      <c r="P1551" s="26">
        <v>30027.41</v>
      </c>
    </row>
    <row r="1552" spans="1:16" x14ac:dyDescent="0.3">
      <c r="A1552" s="25">
        <v>1551</v>
      </c>
      <c r="B1552" s="16" t="s">
        <v>64</v>
      </c>
      <c r="C1552" s="16">
        <v>2025</v>
      </c>
      <c r="D1552" s="16" t="s">
        <v>38</v>
      </c>
      <c r="E1552" s="16" t="s">
        <v>27</v>
      </c>
      <c r="F1552" s="16" t="s">
        <v>28</v>
      </c>
      <c r="G1552" s="16">
        <v>24</v>
      </c>
      <c r="H1552" s="16">
        <v>4304</v>
      </c>
      <c r="I1552" s="16">
        <v>456.3</v>
      </c>
      <c r="J1552" s="19">
        <v>0.82299999999999995</v>
      </c>
      <c r="K1552" s="16">
        <v>83.1</v>
      </c>
      <c r="L1552" s="19">
        <v>0.95399999999999996</v>
      </c>
      <c r="M1552" s="19">
        <v>4.8000000000000001E-2</v>
      </c>
      <c r="N1552" s="21">
        <v>43422.94</v>
      </c>
      <c r="O1552" s="21">
        <v>30571.18</v>
      </c>
      <c r="P1552" s="26">
        <v>12851.76</v>
      </c>
    </row>
    <row r="1553" spans="1:16" x14ac:dyDescent="0.3">
      <c r="A1553" s="25">
        <v>1552</v>
      </c>
      <c r="B1553" s="16" t="s">
        <v>64</v>
      </c>
      <c r="C1553" s="16">
        <v>2025</v>
      </c>
      <c r="D1553" s="16" t="s">
        <v>38</v>
      </c>
      <c r="E1553" s="16" t="s">
        <v>30</v>
      </c>
      <c r="F1553" s="16" t="s">
        <v>28</v>
      </c>
      <c r="G1553" s="16">
        <v>27</v>
      </c>
      <c r="H1553" s="16">
        <v>4404</v>
      </c>
      <c r="I1553" s="16">
        <v>430.3</v>
      </c>
      <c r="J1553" s="19">
        <v>0.82299999999999995</v>
      </c>
      <c r="K1553" s="16">
        <v>90.8</v>
      </c>
      <c r="L1553" s="19">
        <v>1</v>
      </c>
      <c r="M1553" s="19">
        <v>4.1000000000000002E-2</v>
      </c>
      <c r="N1553" s="21">
        <v>30409.51</v>
      </c>
      <c r="O1553" s="21">
        <v>18867.28</v>
      </c>
      <c r="P1553" s="26">
        <v>11542.23</v>
      </c>
    </row>
    <row r="1554" spans="1:16" x14ac:dyDescent="0.3">
      <c r="A1554" s="25">
        <v>1553</v>
      </c>
      <c r="B1554" s="16" t="s">
        <v>64</v>
      </c>
      <c r="C1554" s="16">
        <v>2025</v>
      </c>
      <c r="D1554" s="16" t="s">
        <v>38</v>
      </c>
      <c r="E1554" s="16" t="s">
        <v>35</v>
      </c>
      <c r="F1554" s="16" t="s">
        <v>28</v>
      </c>
      <c r="G1554" s="16">
        <v>18</v>
      </c>
      <c r="H1554" s="16">
        <v>2807</v>
      </c>
      <c r="I1554" s="16">
        <v>361.7</v>
      </c>
      <c r="J1554" s="19">
        <v>0.77</v>
      </c>
      <c r="K1554" s="16">
        <v>84.2</v>
      </c>
      <c r="L1554" s="19">
        <v>0.81</v>
      </c>
      <c r="M1554" s="19">
        <v>5.2999999999999999E-2</v>
      </c>
      <c r="N1554" s="21">
        <v>28580.99</v>
      </c>
      <c r="O1554" s="21">
        <v>22140.880000000001</v>
      </c>
      <c r="P1554" s="26">
        <v>6440.11</v>
      </c>
    </row>
    <row r="1555" spans="1:16" x14ac:dyDescent="0.3">
      <c r="A1555" s="25">
        <v>1554</v>
      </c>
      <c r="B1555" s="16" t="s">
        <v>64</v>
      </c>
      <c r="C1555" s="16">
        <v>2025</v>
      </c>
      <c r="D1555" s="16" t="s">
        <v>38</v>
      </c>
      <c r="E1555" s="16" t="s">
        <v>27</v>
      </c>
      <c r="F1555" s="16" t="s">
        <v>29</v>
      </c>
      <c r="G1555" s="16">
        <v>53</v>
      </c>
      <c r="H1555" s="16">
        <v>8500</v>
      </c>
      <c r="I1555" s="16">
        <v>261.3</v>
      </c>
      <c r="J1555" s="19">
        <v>0.69</v>
      </c>
      <c r="K1555" s="16">
        <v>72.5</v>
      </c>
      <c r="L1555" s="19">
        <v>0.97299999999999998</v>
      </c>
      <c r="M1555" s="19">
        <v>3.2000000000000001E-2</v>
      </c>
      <c r="N1555" s="21">
        <v>62410.06</v>
      </c>
      <c r="O1555" s="21">
        <v>44528.46</v>
      </c>
      <c r="P1555" s="26">
        <v>17881.599999999999</v>
      </c>
    </row>
    <row r="1556" spans="1:16" x14ac:dyDescent="0.3">
      <c r="A1556" s="25">
        <v>1555</v>
      </c>
      <c r="B1556" s="16" t="s">
        <v>64</v>
      </c>
      <c r="C1556" s="16">
        <v>2025</v>
      </c>
      <c r="D1556" s="16" t="s">
        <v>38</v>
      </c>
      <c r="E1556" s="16" t="s">
        <v>34</v>
      </c>
      <c r="F1556" s="16" t="s">
        <v>29</v>
      </c>
      <c r="G1556" s="16">
        <v>40</v>
      </c>
      <c r="H1556" s="16">
        <v>6903</v>
      </c>
      <c r="I1556" s="16">
        <v>239.1</v>
      </c>
      <c r="J1556" s="19">
        <v>0.66100000000000003</v>
      </c>
      <c r="K1556" s="16">
        <v>84.3</v>
      </c>
      <c r="L1556" s="19">
        <v>0.88800000000000001</v>
      </c>
      <c r="M1556" s="19">
        <v>2.8000000000000001E-2</v>
      </c>
      <c r="N1556" s="21">
        <v>55683.9</v>
      </c>
      <c r="O1556" s="21">
        <v>39116.14</v>
      </c>
      <c r="P1556" s="26">
        <v>16567.759999999998</v>
      </c>
    </row>
    <row r="1557" spans="1:16" x14ac:dyDescent="0.3">
      <c r="A1557" s="25">
        <v>1556</v>
      </c>
      <c r="B1557" s="16" t="s">
        <v>64</v>
      </c>
      <c r="C1557" s="16">
        <v>2025</v>
      </c>
      <c r="D1557" s="16" t="s">
        <v>38</v>
      </c>
      <c r="E1557" s="16" t="s">
        <v>35</v>
      </c>
      <c r="F1557" s="16" t="s">
        <v>29</v>
      </c>
      <c r="G1557" s="16">
        <v>31</v>
      </c>
      <c r="H1557" s="16">
        <v>5550</v>
      </c>
      <c r="I1557" s="16">
        <v>215.8</v>
      </c>
      <c r="J1557" s="19">
        <v>0.55500000000000005</v>
      </c>
      <c r="K1557" s="16">
        <v>91.6</v>
      </c>
      <c r="L1557" s="19">
        <v>0.85599999999999998</v>
      </c>
      <c r="M1557" s="19">
        <v>4.2999999999999997E-2</v>
      </c>
      <c r="N1557" s="21">
        <v>35523.19</v>
      </c>
      <c r="O1557" s="21">
        <v>25410.93</v>
      </c>
      <c r="P1557" s="26">
        <v>10112.26</v>
      </c>
    </row>
    <row r="1558" spans="1:16" x14ac:dyDescent="0.3">
      <c r="A1558" s="25">
        <v>1557</v>
      </c>
      <c r="B1558" s="16" t="s">
        <v>64</v>
      </c>
      <c r="C1558" s="16">
        <v>2025</v>
      </c>
      <c r="D1558" s="16" t="s">
        <v>38</v>
      </c>
      <c r="E1558" s="16" t="s">
        <v>30</v>
      </c>
      <c r="F1558" s="16" t="s">
        <v>33</v>
      </c>
      <c r="G1558" s="16">
        <v>55</v>
      </c>
      <c r="H1558" s="16">
        <v>8626</v>
      </c>
      <c r="I1558" s="16">
        <v>447.2</v>
      </c>
      <c r="J1558" s="19">
        <v>0.67400000000000004</v>
      </c>
      <c r="K1558" s="16">
        <v>92.6</v>
      </c>
      <c r="L1558" s="19">
        <v>0.96199999999999997</v>
      </c>
      <c r="M1558" s="19">
        <v>4.8000000000000001E-2</v>
      </c>
      <c r="N1558" s="21">
        <v>70722.27</v>
      </c>
      <c r="O1558" s="21">
        <v>44303.15</v>
      </c>
      <c r="P1558" s="26">
        <v>26419.119999999999</v>
      </c>
    </row>
    <row r="1559" spans="1:16" x14ac:dyDescent="0.3">
      <c r="A1559" s="25">
        <v>1558</v>
      </c>
      <c r="B1559" s="16" t="s">
        <v>64</v>
      </c>
      <c r="C1559" s="16">
        <v>2025</v>
      </c>
      <c r="D1559" s="16" t="s">
        <v>38</v>
      </c>
      <c r="E1559" s="16" t="s">
        <v>34</v>
      </c>
      <c r="F1559" s="16" t="s">
        <v>33</v>
      </c>
      <c r="G1559" s="16">
        <v>53</v>
      </c>
      <c r="H1559" s="16">
        <v>8290</v>
      </c>
      <c r="I1559" s="16">
        <v>526.29999999999995</v>
      </c>
      <c r="J1559" s="19">
        <v>0.71899999999999997</v>
      </c>
      <c r="K1559" s="16">
        <v>81.099999999999994</v>
      </c>
      <c r="L1559" s="19">
        <v>0.89100000000000001</v>
      </c>
      <c r="M1559" s="19">
        <v>4.7E-2</v>
      </c>
      <c r="N1559" s="21">
        <v>73741.14</v>
      </c>
      <c r="O1559" s="21">
        <v>48600.01</v>
      </c>
      <c r="P1559" s="26">
        <v>25141.13</v>
      </c>
    </row>
    <row r="1560" spans="1:16" x14ac:dyDescent="0.3">
      <c r="A1560" s="25">
        <v>1559</v>
      </c>
      <c r="B1560" s="16" t="s">
        <v>64</v>
      </c>
      <c r="C1560" s="16">
        <v>2025</v>
      </c>
      <c r="D1560" s="16" t="s">
        <v>38</v>
      </c>
      <c r="E1560" s="16" t="s">
        <v>31</v>
      </c>
      <c r="F1560" s="16" t="s">
        <v>33</v>
      </c>
      <c r="G1560" s="16">
        <v>45</v>
      </c>
      <c r="H1560" s="16">
        <v>6920</v>
      </c>
      <c r="I1560" s="16">
        <v>531.5</v>
      </c>
      <c r="J1560" s="19">
        <v>0.74099999999999999</v>
      </c>
      <c r="K1560" s="16">
        <v>86.8</v>
      </c>
      <c r="L1560" s="19">
        <v>0.94399999999999995</v>
      </c>
      <c r="M1560" s="19">
        <v>0.03</v>
      </c>
      <c r="N1560" s="21">
        <v>65436.39</v>
      </c>
      <c r="O1560" s="21">
        <v>50365.77</v>
      </c>
      <c r="P1560" s="26">
        <v>15070.62</v>
      </c>
    </row>
    <row r="1561" spans="1:16" x14ac:dyDescent="0.3">
      <c r="A1561" s="25">
        <v>1560</v>
      </c>
      <c r="B1561" s="16" t="s">
        <v>64</v>
      </c>
      <c r="C1561" s="16">
        <v>2025</v>
      </c>
      <c r="D1561" s="16" t="s">
        <v>38</v>
      </c>
      <c r="E1561" s="16" t="s">
        <v>35</v>
      </c>
      <c r="F1561" s="16" t="s">
        <v>33</v>
      </c>
      <c r="G1561" s="16">
        <v>35</v>
      </c>
      <c r="H1561" s="16">
        <v>6946</v>
      </c>
      <c r="I1561" s="16">
        <v>493.5</v>
      </c>
      <c r="J1561" s="19">
        <v>0.70299999999999996</v>
      </c>
      <c r="K1561" s="16">
        <v>86</v>
      </c>
      <c r="L1561" s="19">
        <v>0.99299999999999999</v>
      </c>
      <c r="M1561" s="19">
        <v>3.7999999999999999E-2</v>
      </c>
      <c r="N1561" s="21">
        <v>52213.58</v>
      </c>
      <c r="O1561" s="21">
        <v>38385.129999999997</v>
      </c>
      <c r="P1561" s="26">
        <v>13828.45</v>
      </c>
    </row>
    <row r="1562" spans="1:16" x14ac:dyDescent="0.3">
      <c r="A1562" s="25">
        <v>1561</v>
      </c>
      <c r="B1562" s="16" t="s">
        <v>64</v>
      </c>
      <c r="C1562" s="16">
        <v>2025</v>
      </c>
      <c r="D1562" s="16" t="s">
        <v>38</v>
      </c>
      <c r="E1562" s="16" t="s">
        <v>32</v>
      </c>
      <c r="F1562" s="16" t="s">
        <v>36</v>
      </c>
      <c r="G1562" s="16">
        <v>32</v>
      </c>
      <c r="H1562" s="16">
        <v>5616</v>
      </c>
      <c r="I1562" s="16">
        <v>921.9</v>
      </c>
      <c r="J1562" s="19">
        <v>0.68600000000000005</v>
      </c>
      <c r="K1562" s="16">
        <v>83.9</v>
      </c>
      <c r="L1562" s="19">
        <v>0.95099999999999996</v>
      </c>
      <c r="M1562" s="19">
        <v>5.0999999999999997E-2</v>
      </c>
      <c r="N1562" s="21">
        <v>33577</v>
      </c>
      <c r="O1562" s="21">
        <v>23956.22</v>
      </c>
      <c r="P1562" s="26">
        <v>9620.7800000000007</v>
      </c>
    </row>
    <row r="1563" spans="1:16" x14ac:dyDescent="0.3">
      <c r="A1563" s="25">
        <v>1562</v>
      </c>
      <c r="B1563" s="16" t="s">
        <v>64</v>
      </c>
      <c r="C1563" s="16">
        <v>2025</v>
      </c>
      <c r="D1563" s="16" t="s">
        <v>38</v>
      </c>
      <c r="E1563" s="16" t="s">
        <v>27</v>
      </c>
      <c r="F1563" s="16" t="s">
        <v>36</v>
      </c>
      <c r="G1563" s="16">
        <v>44</v>
      </c>
      <c r="H1563" s="16">
        <v>6343</v>
      </c>
      <c r="I1563" s="16">
        <v>944.4</v>
      </c>
      <c r="J1563" s="19">
        <v>0.73</v>
      </c>
      <c r="K1563" s="16">
        <v>88.6</v>
      </c>
      <c r="L1563" s="19">
        <v>0.97299999999999998</v>
      </c>
      <c r="M1563" s="19">
        <v>4.8000000000000001E-2</v>
      </c>
      <c r="N1563" s="21">
        <v>66790.78</v>
      </c>
      <c r="O1563" s="21">
        <v>44314.65</v>
      </c>
      <c r="P1563" s="26">
        <v>22476.13</v>
      </c>
    </row>
    <row r="1564" spans="1:16" x14ac:dyDescent="0.3">
      <c r="A1564" s="25">
        <v>1563</v>
      </c>
      <c r="B1564" s="16" t="s">
        <v>64</v>
      </c>
      <c r="C1564" s="16">
        <v>2025</v>
      </c>
      <c r="D1564" s="16" t="s">
        <v>38</v>
      </c>
      <c r="E1564" s="16" t="s">
        <v>30</v>
      </c>
      <c r="F1564" s="16" t="s">
        <v>36</v>
      </c>
      <c r="G1564" s="16">
        <v>40</v>
      </c>
      <c r="H1564" s="16">
        <v>5926</v>
      </c>
      <c r="I1564" s="16">
        <v>914.2</v>
      </c>
      <c r="J1564" s="19">
        <v>0.83699999999999997</v>
      </c>
      <c r="K1564" s="16">
        <v>84.3</v>
      </c>
      <c r="L1564" s="19">
        <v>0.95399999999999996</v>
      </c>
      <c r="M1564" s="19">
        <v>4.5999999999999999E-2</v>
      </c>
      <c r="N1564" s="21">
        <v>56620.93</v>
      </c>
      <c r="O1564" s="21">
        <v>36462.559999999998</v>
      </c>
      <c r="P1564" s="26">
        <v>20158.37</v>
      </c>
    </row>
    <row r="1565" spans="1:16" x14ac:dyDescent="0.3">
      <c r="A1565" s="25">
        <v>1564</v>
      </c>
      <c r="B1565" s="16" t="s">
        <v>64</v>
      </c>
      <c r="C1565" s="16">
        <v>2025</v>
      </c>
      <c r="D1565" s="16" t="s">
        <v>38</v>
      </c>
      <c r="E1565" s="16" t="s">
        <v>34</v>
      </c>
      <c r="F1565" s="16" t="s">
        <v>36</v>
      </c>
      <c r="G1565" s="16">
        <v>62</v>
      </c>
      <c r="H1565" s="16">
        <v>9937</v>
      </c>
      <c r="I1565" s="16">
        <v>950</v>
      </c>
      <c r="J1565" s="19">
        <v>0.64300000000000002</v>
      </c>
      <c r="K1565" s="16">
        <v>96.6</v>
      </c>
      <c r="L1565" s="19">
        <v>0.93100000000000005</v>
      </c>
      <c r="M1565" s="19">
        <v>3.9E-2</v>
      </c>
      <c r="N1565" s="21">
        <v>77253.08</v>
      </c>
      <c r="O1565" s="21">
        <v>56451.67</v>
      </c>
      <c r="P1565" s="26">
        <v>20801.41</v>
      </c>
    </row>
    <row r="1566" spans="1:16" x14ac:dyDescent="0.3">
      <c r="A1566" s="25">
        <v>1565</v>
      </c>
      <c r="B1566" s="16" t="s">
        <v>64</v>
      </c>
      <c r="C1566" s="16">
        <v>2025</v>
      </c>
      <c r="D1566" s="16" t="s">
        <v>38</v>
      </c>
      <c r="E1566" s="16" t="s">
        <v>35</v>
      </c>
      <c r="F1566" s="16" t="s">
        <v>36</v>
      </c>
      <c r="G1566" s="16">
        <v>34</v>
      </c>
      <c r="H1566" s="16">
        <v>4458</v>
      </c>
      <c r="I1566" s="16">
        <v>860.3</v>
      </c>
      <c r="J1566" s="19">
        <v>0.64700000000000002</v>
      </c>
      <c r="K1566" s="16">
        <v>87</v>
      </c>
      <c r="L1566" s="19">
        <v>0.91100000000000003</v>
      </c>
      <c r="M1566" s="19">
        <v>3.6999999999999998E-2</v>
      </c>
      <c r="N1566" s="21">
        <v>49943.040000000001</v>
      </c>
      <c r="O1566" s="21">
        <v>36312.17</v>
      </c>
      <c r="P1566" s="26">
        <v>13630.87</v>
      </c>
    </row>
    <row r="1567" spans="1:16" x14ac:dyDescent="0.3">
      <c r="A1567" s="25">
        <v>1566</v>
      </c>
      <c r="B1567" s="16" t="s">
        <v>64</v>
      </c>
      <c r="C1567" s="16">
        <v>2025</v>
      </c>
      <c r="D1567" s="16" t="s">
        <v>38</v>
      </c>
      <c r="E1567" s="16" t="s">
        <v>27</v>
      </c>
      <c r="F1567" s="16" t="s">
        <v>37</v>
      </c>
      <c r="G1567" s="16">
        <v>48</v>
      </c>
      <c r="H1567" s="16">
        <v>7194</v>
      </c>
      <c r="I1567" s="16">
        <v>672.1</v>
      </c>
      <c r="J1567" s="19">
        <v>0.66</v>
      </c>
      <c r="K1567" s="16">
        <v>79.7</v>
      </c>
      <c r="L1567" s="19">
        <v>0.98799999999999999</v>
      </c>
      <c r="M1567" s="19">
        <v>2.3E-2</v>
      </c>
      <c r="N1567" s="21">
        <v>57674.28</v>
      </c>
      <c r="O1567" s="21">
        <v>40198</v>
      </c>
      <c r="P1567" s="26">
        <v>17476.28</v>
      </c>
    </row>
    <row r="1568" spans="1:16" x14ac:dyDescent="0.3">
      <c r="A1568" s="25">
        <v>1567</v>
      </c>
      <c r="B1568" s="16" t="s">
        <v>64</v>
      </c>
      <c r="C1568" s="16">
        <v>2025</v>
      </c>
      <c r="D1568" s="16" t="s">
        <v>38</v>
      </c>
      <c r="E1568" s="16" t="s">
        <v>30</v>
      </c>
      <c r="F1568" s="16" t="s">
        <v>37</v>
      </c>
      <c r="G1568" s="16">
        <v>60</v>
      </c>
      <c r="H1568" s="16">
        <v>9689</v>
      </c>
      <c r="I1568" s="16">
        <v>676.6</v>
      </c>
      <c r="J1568" s="19">
        <v>0.61899999999999999</v>
      </c>
      <c r="K1568" s="16">
        <v>87.9</v>
      </c>
      <c r="L1568" s="19">
        <v>0.95599999999999996</v>
      </c>
      <c r="M1568" s="19">
        <v>3.7999999999999999E-2</v>
      </c>
      <c r="N1568" s="21">
        <v>58316.39</v>
      </c>
      <c r="O1568" s="21">
        <v>42549.25</v>
      </c>
      <c r="P1568" s="26">
        <v>15767.14</v>
      </c>
    </row>
    <row r="1569" spans="1:16" x14ac:dyDescent="0.3">
      <c r="A1569" s="25">
        <v>1568</v>
      </c>
      <c r="B1569" s="16" t="s">
        <v>64</v>
      </c>
      <c r="C1569" s="16">
        <v>2025</v>
      </c>
      <c r="D1569" s="16" t="s">
        <v>38</v>
      </c>
      <c r="E1569" s="16" t="s">
        <v>31</v>
      </c>
      <c r="F1569" s="16" t="s">
        <v>37</v>
      </c>
      <c r="G1569" s="16">
        <v>70</v>
      </c>
      <c r="H1569" s="16">
        <v>9869</v>
      </c>
      <c r="I1569" s="16">
        <v>599</v>
      </c>
      <c r="J1569" s="19">
        <v>0.68799999999999994</v>
      </c>
      <c r="K1569" s="16">
        <v>83.7</v>
      </c>
      <c r="L1569" s="19">
        <v>0.98899999999999999</v>
      </c>
      <c r="M1569" s="19">
        <v>4.5999999999999999E-2</v>
      </c>
      <c r="N1569" s="21">
        <v>69707.17</v>
      </c>
      <c r="O1569" s="21">
        <v>46094.01</v>
      </c>
      <c r="P1569" s="26">
        <v>23613.16</v>
      </c>
    </row>
    <row r="1570" spans="1:16" x14ac:dyDescent="0.3">
      <c r="A1570" s="25">
        <v>1569</v>
      </c>
      <c r="B1570" s="16" t="s">
        <v>64</v>
      </c>
      <c r="C1570" s="16">
        <v>2025</v>
      </c>
      <c r="D1570" s="16" t="s">
        <v>38</v>
      </c>
      <c r="E1570" s="16" t="s">
        <v>35</v>
      </c>
      <c r="F1570" s="16" t="s">
        <v>37</v>
      </c>
      <c r="G1570" s="16">
        <v>63</v>
      </c>
      <c r="H1570" s="16">
        <v>9481</v>
      </c>
      <c r="I1570" s="16">
        <v>627.4</v>
      </c>
      <c r="J1570" s="19">
        <v>0.64300000000000002</v>
      </c>
      <c r="K1570" s="16">
        <v>74.8</v>
      </c>
      <c r="L1570" s="19">
        <v>0.85399999999999998</v>
      </c>
      <c r="M1570" s="19">
        <v>4.2000000000000003E-2</v>
      </c>
      <c r="N1570" s="21">
        <v>86865.62</v>
      </c>
      <c r="O1570" s="21">
        <v>63682.48</v>
      </c>
      <c r="P1570" s="26">
        <v>23183.14</v>
      </c>
    </row>
    <row r="1571" spans="1:16" x14ac:dyDescent="0.3">
      <c r="A1571" s="25">
        <v>1570</v>
      </c>
      <c r="B1571" s="16" t="s">
        <v>64</v>
      </c>
      <c r="C1571" s="16">
        <v>2025</v>
      </c>
      <c r="D1571" s="16" t="s">
        <v>39</v>
      </c>
      <c r="E1571" s="16" t="s">
        <v>32</v>
      </c>
      <c r="F1571" s="16" t="s">
        <v>28</v>
      </c>
      <c r="G1571" s="16">
        <v>55</v>
      </c>
      <c r="H1571" s="16">
        <v>9372</v>
      </c>
      <c r="I1571" s="16">
        <v>476</v>
      </c>
      <c r="J1571" s="19">
        <v>0.74199999999999999</v>
      </c>
      <c r="K1571" s="16">
        <v>73.599999999999994</v>
      </c>
      <c r="L1571" s="19">
        <v>0.81499999999999995</v>
      </c>
      <c r="M1571" s="19">
        <v>4.2000000000000003E-2</v>
      </c>
      <c r="N1571" s="21">
        <v>109412.88</v>
      </c>
      <c r="O1571" s="21">
        <v>77915.429999999993</v>
      </c>
      <c r="P1571" s="26">
        <v>31497.45</v>
      </c>
    </row>
    <row r="1572" spans="1:16" x14ac:dyDescent="0.3">
      <c r="A1572" s="25">
        <v>1571</v>
      </c>
      <c r="B1572" s="16" t="s">
        <v>64</v>
      </c>
      <c r="C1572" s="16">
        <v>2025</v>
      </c>
      <c r="D1572" s="16" t="s">
        <v>39</v>
      </c>
      <c r="E1572" s="16" t="s">
        <v>27</v>
      </c>
      <c r="F1572" s="16" t="s">
        <v>28</v>
      </c>
      <c r="G1572" s="16">
        <v>50</v>
      </c>
      <c r="H1572" s="16">
        <v>8550</v>
      </c>
      <c r="I1572" s="16">
        <v>401.6</v>
      </c>
      <c r="J1572" s="19">
        <v>0.83299999999999996</v>
      </c>
      <c r="K1572" s="16">
        <v>74.900000000000006</v>
      </c>
      <c r="L1572" s="19">
        <v>0.85299999999999998</v>
      </c>
      <c r="M1572" s="19">
        <v>1.4999999999999999E-2</v>
      </c>
      <c r="N1572" s="21">
        <v>64929.84</v>
      </c>
      <c r="O1572" s="21">
        <v>46474.32</v>
      </c>
      <c r="P1572" s="26">
        <v>18455.52</v>
      </c>
    </row>
    <row r="1573" spans="1:16" x14ac:dyDescent="0.3">
      <c r="A1573" s="25">
        <v>1572</v>
      </c>
      <c r="B1573" s="16" t="s">
        <v>64</v>
      </c>
      <c r="C1573" s="16">
        <v>2025</v>
      </c>
      <c r="D1573" s="16" t="s">
        <v>39</v>
      </c>
      <c r="E1573" s="16" t="s">
        <v>30</v>
      </c>
      <c r="F1573" s="16" t="s">
        <v>28</v>
      </c>
      <c r="G1573" s="16">
        <v>26</v>
      </c>
      <c r="H1573" s="16">
        <v>4831</v>
      </c>
      <c r="I1573" s="16">
        <v>458.1</v>
      </c>
      <c r="J1573" s="19">
        <v>0.68600000000000005</v>
      </c>
      <c r="K1573" s="16">
        <v>79</v>
      </c>
      <c r="L1573" s="19">
        <v>0.94499999999999995</v>
      </c>
      <c r="M1573" s="19">
        <v>3.4000000000000002E-2</v>
      </c>
      <c r="N1573" s="21">
        <v>30511.01</v>
      </c>
      <c r="O1573" s="21">
        <v>19215.14</v>
      </c>
      <c r="P1573" s="26">
        <v>11295.87</v>
      </c>
    </row>
    <row r="1574" spans="1:16" x14ac:dyDescent="0.3">
      <c r="A1574" s="25">
        <v>1573</v>
      </c>
      <c r="B1574" s="16" t="s">
        <v>64</v>
      </c>
      <c r="C1574" s="16">
        <v>2025</v>
      </c>
      <c r="D1574" s="16" t="s">
        <v>39</v>
      </c>
      <c r="E1574" s="16" t="s">
        <v>31</v>
      </c>
      <c r="F1574" s="16" t="s">
        <v>28</v>
      </c>
      <c r="G1574" s="16">
        <v>38</v>
      </c>
      <c r="H1574" s="16">
        <v>6834</v>
      </c>
      <c r="I1574" s="16">
        <v>411.1</v>
      </c>
      <c r="J1574" s="19">
        <v>0.81299999999999994</v>
      </c>
      <c r="K1574" s="16">
        <v>80.5</v>
      </c>
      <c r="L1574" s="19">
        <v>0.97399999999999998</v>
      </c>
      <c r="M1574" s="19">
        <v>5.0999999999999997E-2</v>
      </c>
      <c r="N1574" s="21">
        <v>70370.67</v>
      </c>
      <c r="O1574" s="21">
        <v>45819.55</v>
      </c>
      <c r="P1574" s="26">
        <v>24551.119999999999</v>
      </c>
    </row>
    <row r="1575" spans="1:16" x14ac:dyDescent="0.3">
      <c r="A1575" s="25">
        <v>1574</v>
      </c>
      <c r="B1575" s="16" t="s">
        <v>64</v>
      </c>
      <c r="C1575" s="16">
        <v>2025</v>
      </c>
      <c r="D1575" s="16" t="s">
        <v>39</v>
      </c>
      <c r="E1575" s="16" t="s">
        <v>27</v>
      </c>
      <c r="F1575" s="16" t="s">
        <v>29</v>
      </c>
      <c r="G1575" s="16">
        <v>48</v>
      </c>
      <c r="H1575" s="16">
        <v>7012</v>
      </c>
      <c r="I1575" s="16">
        <v>356.4</v>
      </c>
      <c r="J1575" s="19">
        <v>0.71199999999999997</v>
      </c>
      <c r="K1575" s="16">
        <v>77.400000000000006</v>
      </c>
      <c r="L1575" s="19">
        <v>0.85899999999999999</v>
      </c>
      <c r="M1575" s="19">
        <v>3.4000000000000002E-2</v>
      </c>
      <c r="N1575" s="21">
        <v>70755.78</v>
      </c>
      <c r="O1575" s="21">
        <v>45397.98</v>
      </c>
      <c r="P1575" s="26">
        <v>25357.8</v>
      </c>
    </row>
    <row r="1576" spans="1:16" x14ac:dyDescent="0.3">
      <c r="A1576" s="25">
        <v>1575</v>
      </c>
      <c r="B1576" s="16" t="s">
        <v>64</v>
      </c>
      <c r="C1576" s="16">
        <v>2025</v>
      </c>
      <c r="D1576" s="16" t="s">
        <v>39</v>
      </c>
      <c r="E1576" s="16" t="s">
        <v>30</v>
      </c>
      <c r="F1576" s="16" t="s">
        <v>29</v>
      </c>
      <c r="G1576" s="16">
        <v>28</v>
      </c>
      <c r="H1576" s="16">
        <v>4524</v>
      </c>
      <c r="I1576" s="16">
        <v>334.6</v>
      </c>
      <c r="J1576" s="19">
        <v>0.65400000000000003</v>
      </c>
      <c r="K1576" s="16">
        <v>76.8</v>
      </c>
      <c r="L1576" s="19">
        <v>0.86199999999999999</v>
      </c>
      <c r="M1576" s="19">
        <v>2.9000000000000001E-2</v>
      </c>
      <c r="N1576" s="21">
        <v>42792.95</v>
      </c>
      <c r="O1576" s="21">
        <v>30815.53</v>
      </c>
      <c r="P1576" s="26">
        <v>11977.42</v>
      </c>
    </row>
    <row r="1577" spans="1:16" x14ac:dyDescent="0.3">
      <c r="A1577" s="25">
        <v>1576</v>
      </c>
      <c r="B1577" s="16" t="s">
        <v>64</v>
      </c>
      <c r="C1577" s="16">
        <v>2025</v>
      </c>
      <c r="D1577" s="16" t="s">
        <v>39</v>
      </c>
      <c r="E1577" s="16" t="s">
        <v>32</v>
      </c>
      <c r="F1577" s="16" t="s">
        <v>33</v>
      </c>
      <c r="G1577" s="16">
        <v>54</v>
      </c>
      <c r="H1577" s="16">
        <v>8940</v>
      </c>
      <c r="I1577" s="16">
        <v>524.4</v>
      </c>
      <c r="J1577" s="19">
        <v>0.70299999999999996</v>
      </c>
      <c r="K1577" s="16">
        <v>86.4</v>
      </c>
      <c r="L1577" s="19">
        <v>1</v>
      </c>
      <c r="M1577" s="19">
        <v>3.2000000000000001E-2</v>
      </c>
      <c r="N1577" s="21">
        <v>69024.86</v>
      </c>
      <c r="O1577" s="21">
        <v>50545.81</v>
      </c>
      <c r="P1577" s="26">
        <v>18479.05</v>
      </c>
    </row>
    <row r="1578" spans="1:16" x14ac:dyDescent="0.3">
      <c r="A1578" s="25">
        <v>1577</v>
      </c>
      <c r="B1578" s="16" t="s">
        <v>64</v>
      </c>
      <c r="C1578" s="16">
        <v>2025</v>
      </c>
      <c r="D1578" s="16" t="s">
        <v>39</v>
      </c>
      <c r="E1578" s="16" t="s">
        <v>30</v>
      </c>
      <c r="F1578" s="16" t="s">
        <v>33</v>
      </c>
      <c r="G1578" s="16">
        <v>31</v>
      </c>
      <c r="H1578" s="16">
        <v>5195</v>
      </c>
      <c r="I1578" s="16">
        <v>555.70000000000005</v>
      </c>
      <c r="J1578" s="19">
        <v>0.82199999999999995</v>
      </c>
      <c r="K1578" s="16">
        <v>78.5</v>
      </c>
      <c r="L1578" s="19">
        <v>0.95599999999999996</v>
      </c>
      <c r="M1578" s="19">
        <v>5.6000000000000001E-2</v>
      </c>
      <c r="N1578" s="21">
        <v>42631.38</v>
      </c>
      <c r="O1578" s="21">
        <v>32764.560000000001</v>
      </c>
      <c r="P1578" s="26">
        <v>9866.82</v>
      </c>
    </row>
    <row r="1579" spans="1:16" x14ac:dyDescent="0.3">
      <c r="A1579" s="25">
        <v>1578</v>
      </c>
      <c r="B1579" s="16" t="s">
        <v>64</v>
      </c>
      <c r="C1579" s="16">
        <v>2025</v>
      </c>
      <c r="D1579" s="16" t="s">
        <v>39</v>
      </c>
      <c r="E1579" s="16" t="s">
        <v>34</v>
      </c>
      <c r="F1579" s="16" t="s">
        <v>33</v>
      </c>
      <c r="G1579" s="16">
        <v>31</v>
      </c>
      <c r="H1579" s="16">
        <v>5397</v>
      </c>
      <c r="I1579" s="16">
        <v>577.20000000000005</v>
      </c>
      <c r="J1579" s="19">
        <v>0.82199999999999995</v>
      </c>
      <c r="K1579" s="16">
        <v>83.8</v>
      </c>
      <c r="L1579" s="19">
        <v>0.92</v>
      </c>
      <c r="M1579" s="19">
        <v>3.6999999999999998E-2</v>
      </c>
      <c r="N1579" s="21">
        <v>43120.53</v>
      </c>
      <c r="O1579" s="21">
        <v>28974.71</v>
      </c>
      <c r="P1579" s="26">
        <v>14145.82</v>
      </c>
    </row>
    <row r="1580" spans="1:16" x14ac:dyDescent="0.3">
      <c r="A1580" s="25">
        <v>1579</v>
      </c>
      <c r="B1580" s="16" t="s">
        <v>64</v>
      </c>
      <c r="C1580" s="16">
        <v>2025</v>
      </c>
      <c r="D1580" s="16" t="s">
        <v>39</v>
      </c>
      <c r="E1580" s="16" t="s">
        <v>32</v>
      </c>
      <c r="F1580" s="16" t="s">
        <v>36</v>
      </c>
      <c r="G1580" s="16">
        <v>59</v>
      </c>
      <c r="H1580" s="16">
        <v>9581</v>
      </c>
      <c r="I1580" s="16">
        <v>859.6</v>
      </c>
      <c r="J1580" s="19">
        <v>0.71199999999999997</v>
      </c>
      <c r="K1580" s="16">
        <v>78.400000000000006</v>
      </c>
      <c r="L1580" s="19">
        <v>0.84899999999999998</v>
      </c>
      <c r="M1580" s="19">
        <v>5.7000000000000002E-2</v>
      </c>
      <c r="N1580" s="21">
        <v>79911.66</v>
      </c>
      <c r="O1580" s="21">
        <v>60284.13</v>
      </c>
      <c r="P1580" s="26">
        <v>19627.53</v>
      </c>
    </row>
    <row r="1581" spans="1:16" x14ac:dyDescent="0.3">
      <c r="A1581" s="25">
        <v>1580</v>
      </c>
      <c r="B1581" s="16" t="s">
        <v>64</v>
      </c>
      <c r="C1581" s="16">
        <v>2025</v>
      </c>
      <c r="D1581" s="16" t="s">
        <v>39</v>
      </c>
      <c r="E1581" s="16" t="s">
        <v>30</v>
      </c>
      <c r="F1581" s="16" t="s">
        <v>37</v>
      </c>
      <c r="G1581" s="16">
        <v>32</v>
      </c>
      <c r="H1581" s="16">
        <v>4225</v>
      </c>
      <c r="I1581" s="16">
        <v>763.9</v>
      </c>
      <c r="J1581" s="19">
        <v>0.61199999999999999</v>
      </c>
      <c r="K1581" s="16">
        <v>76.400000000000006</v>
      </c>
      <c r="L1581" s="19">
        <v>0.92200000000000004</v>
      </c>
      <c r="M1581" s="19">
        <v>4.4999999999999998E-2</v>
      </c>
      <c r="N1581" s="21">
        <v>44707.65</v>
      </c>
      <c r="O1581" s="21">
        <v>32888.019999999997</v>
      </c>
      <c r="P1581" s="26">
        <v>11819.63</v>
      </c>
    </row>
    <row r="1582" spans="1:16" x14ac:dyDescent="0.3">
      <c r="A1582" s="25">
        <v>1581</v>
      </c>
      <c r="B1582" s="16" t="s">
        <v>64</v>
      </c>
      <c r="C1582" s="16">
        <v>2025</v>
      </c>
      <c r="D1582" s="16" t="s">
        <v>39</v>
      </c>
      <c r="E1582" s="16" t="s">
        <v>35</v>
      </c>
      <c r="F1582" s="16" t="s">
        <v>37</v>
      </c>
      <c r="G1582" s="16">
        <v>53</v>
      </c>
      <c r="H1582" s="16">
        <v>9598</v>
      </c>
      <c r="I1582" s="16">
        <v>659.1</v>
      </c>
      <c r="J1582" s="19">
        <v>0.67900000000000005</v>
      </c>
      <c r="K1582" s="16">
        <v>84.3</v>
      </c>
      <c r="L1582" s="19">
        <v>0.995</v>
      </c>
      <c r="M1582" s="19">
        <v>0.05</v>
      </c>
      <c r="N1582" s="21">
        <v>56432.81</v>
      </c>
      <c r="O1582" s="21">
        <v>41363.01</v>
      </c>
      <c r="P1582" s="26">
        <v>15069.8</v>
      </c>
    </row>
    <row r="1583" spans="1:16" x14ac:dyDescent="0.3">
      <c r="A1583" s="25">
        <v>1582</v>
      </c>
      <c r="B1583" s="16" t="s">
        <v>64</v>
      </c>
      <c r="C1583" s="16">
        <v>2025</v>
      </c>
      <c r="D1583" s="16" t="s">
        <v>40</v>
      </c>
      <c r="E1583" s="16" t="s">
        <v>32</v>
      </c>
      <c r="F1583" s="16" t="s">
        <v>28</v>
      </c>
      <c r="G1583" s="16">
        <v>34</v>
      </c>
      <c r="H1583" s="16">
        <v>5611</v>
      </c>
      <c r="I1583" s="16">
        <v>462</v>
      </c>
      <c r="J1583" s="19">
        <v>0.73</v>
      </c>
      <c r="K1583" s="16">
        <v>85.2</v>
      </c>
      <c r="L1583" s="19">
        <v>0.83599999999999997</v>
      </c>
      <c r="M1583" s="19">
        <v>4.3999999999999997E-2</v>
      </c>
      <c r="N1583" s="21">
        <v>46851.86</v>
      </c>
      <c r="O1583" s="21">
        <v>29871.08</v>
      </c>
      <c r="P1583" s="26">
        <v>16980.78</v>
      </c>
    </row>
    <row r="1584" spans="1:16" x14ac:dyDescent="0.3">
      <c r="A1584" s="25">
        <v>1583</v>
      </c>
      <c r="B1584" s="16" t="s">
        <v>64</v>
      </c>
      <c r="C1584" s="16">
        <v>2025</v>
      </c>
      <c r="D1584" s="16" t="s">
        <v>40</v>
      </c>
      <c r="E1584" s="16" t="s">
        <v>27</v>
      </c>
      <c r="F1584" s="16" t="s">
        <v>28</v>
      </c>
      <c r="G1584" s="16">
        <v>34</v>
      </c>
      <c r="H1584" s="16">
        <v>5348</v>
      </c>
      <c r="I1584" s="16">
        <v>452.1</v>
      </c>
      <c r="J1584" s="19">
        <v>0.81899999999999995</v>
      </c>
      <c r="K1584" s="16">
        <v>78.7</v>
      </c>
      <c r="L1584" s="19">
        <v>0.85</v>
      </c>
      <c r="M1584" s="19">
        <v>4.2000000000000003E-2</v>
      </c>
      <c r="N1584" s="21">
        <v>40486.68</v>
      </c>
      <c r="O1584" s="21">
        <v>30512.36</v>
      </c>
      <c r="P1584" s="26">
        <v>9974.32</v>
      </c>
    </row>
    <row r="1585" spans="1:16" x14ac:dyDescent="0.3">
      <c r="A1585" s="25">
        <v>1584</v>
      </c>
      <c r="B1585" s="16" t="s">
        <v>64</v>
      </c>
      <c r="C1585" s="16">
        <v>2025</v>
      </c>
      <c r="D1585" s="16" t="s">
        <v>40</v>
      </c>
      <c r="E1585" s="16" t="s">
        <v>32</v>
      </c>
      <c r="F1585" s="16" t="s">
        <v>29</v>
      </c>
      <c r="G1585" s="16">
        <v>42</v>
      </c>
      <c r="H1585" s="16">
        <v>6392</v>
      </c>
      <c r="I1585" s="16">
        <v>304.39999999999998</v>
      </c>
      <c r="J1585" s="19">
        <v>0.58599999999999997</v>
      </c>
      <c r="K1585" s="16">
        <v>78.3</v>
      </c>
      <c r="L1585" s="19">
        <v>0.81899999999999995</v>
      </c>
      <c r="M1585" s="19">
        <v>3.3000000000000002E-2</v>
      </c>
      <c r="N1585" s="21">
        <v>44948.51</v>
      </c>
      <c r="O1585" s="21">
        <v>31543.82</v>
      </c>
      <c r="P1585" s="26">
        <v>13404.69</v>
      </c>
    </row>
    <row r="1586" spans="1:16" x14ac:dyDescent="0.3">
      <c r="A1586" s="25">
        <v>1585</v>
      </c>
      <c r="B1586" s="16" t="s">
        <v>64</v>
      </c>
      <c r="C1586" s="16">
        <v>2025</v>
      </c>
      <c r="D1586" s="16" t="s">
        <v>40</v>
      </c>
      <c r="E1586" s="16" t="s">
        <v>27</v>
      </c>
      <c r="F1586" s="16" t="s">
        <v>29</v>
      </c>
      <c r="G1586" s="16">
        <v>44</v>
      </c>
      <c r="H1586" s="16">
        <v>6237</v>
      </c>
      <c r="I1586" s="16">
        <v>363.1</v>
      </c>
      <c r="J1586" s="19">
        <v>0.6</v>
      </c>
      <c r="K1586" s="16">
        <v>81.3</v>
      </c>
      <c r="L1586" s="19">
        <v>0.90200000000000002</v>
      </c>
      <c r="M1586" s="19">
        <v>0.03</v>
      </c>
      <c r="N1586" s="21">
        <v>57367.199999999997</v>
      </c>
      <c r="O1586" s="21">
        <v>40143.18</v>
      </c>
      <c r="P1586" s="26">
        <v>17224.02</v>
      </c>
    </row>
    <row r="1587" spans="1:16" x14ac:dyDescent="0.3">
      <c r="A1587" s="25">
        <v>1586</v>
      </c>
      <c r="B1587" s="16" t="s">
        <v>64</v>
      </c>
      <c r="C1587" s="16">
        <v>2025</v>
      </c>
      <c r="D1587" s="16" t="s">
        <v>40</v>
      </c>
      <c r="E1587" s="16" t="s">
        <v>34</v>
      </c>
      <c r="F1587" s="16" t="s">
        <v>29</v>
      </c>
      <c r="G1587" s="16">
        <v>78</v>
      </c>
      <c r="H1587" s="16">
        <v>14107</v>
      </c>
      <c r="I1587" s="16">
        <v>301.8</v>
      </c>
      <c r="J1587" s="19">
        <v>0.624</v>
      </c>
      <c r="K1587" s="16">
        <v>73.400000000000006</v>
      </c>
      <c r="L1587" s="19">
        <v>0.85899999999999999</v>
      </c>
      <c r="M1587" s="19">
        <v>3.9E-2</v>
      </c>
      <c r="N1587" s="21">
        <v>86487.45</v>
      </c>
      <c r="O1587" s="21">
        <v>63471.02</v>
      </c>
      <c r="P1587" s="26">
        <v>23016.43</v>
      </c>
    </row>
    <row r="1588" spans="1:16" x14ac:dyDescent="0.3">
      <c r="A1588" s="25">
        <v>1587</v>
      </c>
      <c r="B1588" s="16" t="s">
        <v>64</v>
      </c>
      <c r="C1588" s="16">
        <v>2025</v>
      </c>
      <c r="D1588" s="16" t="s">
        <v>40</v>
      </c>
      <c r="E1588" s="16" t="s">
        <v>31</v>
      </c>
      <c r="F1588" s="16" t="s">
        <v>29</v>
      </c>
      <c r="G1588" s="16">
        <v>41</v>
      </c>
      <c r="H1588" s="16">
        <v>7220</v>
      </c>
      <c r="I1588" s="16">
        <v>308.5</v>
      </c>
      <c r="J1588" s="19">
        <v>0.67200000000000004</v>
      </c>
      <c r="K1588" s="16">
        <v>75.900000000000006</v>
      </c>
      <c r="L1588" s="19">
        <v>0.83399999999999996</v>
      </c>
      <c r="M1588" s="19">
        <v>3.3000000000000002E-2</v>
      </c>
      <c r="N1588" s="21">
        <v>45273.74</v>
      </c>
      <c r="O1588" s="21">
        <v>29443.06</v>
      </c>
      <c r="P1588" s="26">
        <v>15830.68</v>
      </c>
    </row>
    <row r="1589" spans="1:16" x14ac:dyDescent="0.3">
      <c r="A1589" s="25">
        <v>1588</v>
      </c>
      <c r="B1589" s="16" t="s">
        <v>64</v>
      </c>
      <c r="C1589" s="16">
        <v>2025</v>
      </c>
      <c r="D1589" s="16" t="s">
        <v>40</v>
      </c>
      <c r="E1589" s="16" t="s">
        <v>35</v>
      </c>
      <c r="F1589" s="16" t="s">
        <v>29</v>
      </c>
      <c r="G1589" s="16">
        <v>34</v>
      </c>
      <c r="H1589" s="16">
        <v>4617</v>
      </c>
      <c r="I1589" s="16">
        <v>239.5</v>
      </c>
      <c r="J1589" s="19">
        <v>0.53300000000000003</v>
      </c>
      <c r="K1589" s="16">
        <v>80.599999999999994</v>
      </c>
      <c r="L1589" s="19">
        <v>0.92800000000000005</v>
      </c>
      <c r="M1589" s="19">
        <v>8.9999999999999993E-3</v>
      </c>
      <c r="N1589" s="21">
        <v>41058</v>
      </c>
      <c r="O1589" s="21">
        <v>30700.3</v>
      </c>
      <c r="P1589" s="26">
        <v>10357.700000000001</v>
      </c>
    </row>
    <row r="1590" spans="1:16" x14ac:dyDescent="0.3">
      <c r="A1590" s="25">
        <v>1589</v>
      </c>
      <c r="B1590" s="16" t="s">
        <v>64</v>
      </c>
      <c r="C1590" s="16">
        <v>2025</v>
      </c>
      <c r="D1590" s="16" t="s">
        <v>40</v>
      </c>
      <c r="E1590" s="16" t="s">
        <v>27</v>
      </c>
      <c r="F1590" s="16" t="s">
        <v>33</v>
      </c>
      <c r="G1590" s="16">
        <v>66</v>
      </c>
      <c r="H1590" s="16">
        <v>10752</v>
      </c>
      <c r="I1590" s="16">
        <v>536</v>
      </c>
      <c r="J1590" s="19">
        <v>0.77700000000000002</v>
      </c>
      <c r="K1590" s="16">
        <v>81.900000000000006</v>
      </c>
      <c r="L1590" s="19">
        <v>0.85599999999999998</v>
      </c>
      <c r="M1590" s="19">
        <v>0.03</v>
      </c>
      <c r="N1590" s="21">
        <v>113079.58</v>
      </c>
      <c r="O1590" s="21">
        <v>72553.13</v>
      </c>
      <c r="P1590" s="26">
        <v>40526.449999999997</v>
      </c>
    </row>
    <row r="1591" spans="1:16" x14ac:dyDescent="0.3">
      <c r="A1591" s="25">
        <v>1590</v>
      </c>
      <c r="B1591" s="16" t="s">
        <v>64</v>
      </c>
      <c r="C1591" s="16">
        <v>2025</v>
      </c>
      <c r="D1591" s="16" t="s">
        <v>40</v>
      </c>
      <c r="E1591" s="16" t="s">
        <v>31</v>
      </c>
      <c r="F1591" s="16" t="s">
        <v>33</v>
      </c>
      <c r="G1591" s="16">
        <v>54</v>
      </c>
      <c r="H1591" s="16">
        <v>10680</v>
      </c>
      <c r="I1591" s="16">
        <v>516.5</v>
      </c>
      <c r="J1591" s="19">
        <v>0.74199999999999999</v>
      </c>
      <c r="K1591" s="16">
        <v>78</v>
      </c>
      <c r="L1591" s="19">
        <v>0.94299999999999995</v>
      </c>
      <c r="M1591" s="19">
        <v>0.03</v>
      </c>
      <c r="N1591" s="21">
        <v>64470.13</v>
      </c>
      <c r="O1591" s="21">
        <v>45140.13</v>
      </c>
      <c r="P1591" s="26">
        <v>19330</v>
      </c>
    </row>
    <row r="1592" spans="1:16" x14ac:dyDescent="0.3">
      <c r="A1592" s="25">
        <v>1591</v>
      </c>
      <c r="B1592" s="16" t="s">
        <v>64</v>
      </c>
      <c r="C1592" s="16">
        <v>2025</v>
      </c>
      <c r="D1592" s="16" t="s">
        <v>40</v>
      </c>
      <c r="E1592" s="16" t="s">
        <v>35</v>
      </c>
      <c r="F1592" s="16" t="s">
        <v>33</v>
      </c>
      <c r="G1592" s="16">
        <v>50</v>
      </c>
      <c r="H1592" s="16">
        <v>7333</v>
      </c>
      <c r="I1592" s="16">
        <v>499.9</v>
      </c>
      <c r="J1592" s="19">
        <v>0.67100000000000004</v>
      </c>
      <c r="K1592" s="16">
        <v>95.8</v>
      </c>
      <c r="L1592" s="19">
        <v>0.95899999999999996</v>
      </c>
      <c r="M1592" s="19">
        <v>4.8000000000000001E-2</v>
      </c>
      <c r="N1592" s="21">
        <v>53639.67</v>
      </c>
      <c r="O1592" s="21">
        <v>40375.589999999997</v>
      </c>
      <c r="P1592" s="26">
        <v>13264.08</v>
      </c>
    </row>
    <row r="1593" spans="1:16" x14ac:dyDescent="0.3">
      <c r="A1593" s="25">
        <v>1592</v>
      </c>
      <c r="B1593" s="16" t="s">
        <v>64</v>
      </c>
      <c r="C1593" s="16">
        <v>2025</v>
      </c>
      <c r="D1593" s="16" t="s">
        <v>40</v>
      </c>
      <c r="E1593" s="16" t="s">
        <v>32</v>
      </c>
      <c r="F1593" s="16" t="s">
        <v>36</v>
      </c>
      <c r="G1593" s="16">
        <v>52</v>
      </c>
      <c r="H1593" s="16">
        <v>9577</v>
      </c>
      <c r="I1593" s="16">
        <v>923.7</v>
      </c>
      <c r="J1593" s="19">
        <v>0.64</v>
      </c>
      <c r="K1593" s="16">
        <v>80.7</v>
      </c>
      <c r="L1593" s="19">
        <v>0.86399999999999999</v>
      </c>
      <c r="M1593" s="19">
        <v>0.03</v>
      </c>
      <c r="N1593" s="21">
        <v>80560.639999999999</v>
      </c>
      <c r="O1593" s="21">
        <v>50755.72</v>
      </c>
      <c r="P1593" s="26">
        <v>29804.92</v>
      </c>
    </row>
    <row r="1594" spans="1:16" x14ac:dyDescent="0.3">
      <c r="A1594" s="25">
        <v>1593</v>
      </c>
      <c r="B1594" s="16" t="s">
        <v>64</v>
      </c>
      <c r="C1594" s="16">
        <v>2025</v>
      </c>
      <c r="D1594" s="16" t="s">
        <v>40</v>
      </c>
      <c r="E1594" s="16" t="s">
        <v>27</v>
      </c>
      <c r="F1594" s="16" t="s">
        <v>36</v>
      </c>
      <c r="G1594" s="16">
        <v>17</v>
      </c>
      <c r="H1594" s="16">
        <v>2943</v>
      </c>
      <c r="I1594" s="16">
        <v>848.3</v>
      </c>
      <c r="J1594" s="19">
        <v>0.64200000000000002</v>
      </c>
      <c r="K1594" s="16">
        <v>74</v>
      </c>
      <c r="L1594" s="19">
        <v>0.99099999999999999</v>
      </c>
      <c r="M1594" s="19">
        <v>0.03</v>
      </c>
      <c r="N1594" s="21">
        <v>22639.71</v>
      </c>
      <c r="O1594" s="21">
        <v>16479.759999999998</v>
      </c>
      <c r="P1594" s="26">
        <v>6159.95</v>
      </c>
    </row>
    <row r="1595" spans="1:16" x14ac:dyDescent="0.3">
      <c r="A1595" s="25">
        <v>1594</v>
      </c>
      <c r="B1595" s="16" t="s">
        <v>64</v>
      </c>
      <c r="C1595" s="16">
        <v>2025</v>
      </c>
      <c r="D1595" s="16" t="s">
        <v>40</v>
      </c>
      <c r="E1595" s="16" t="s">
        <v>31</v>
      </c>
      <c r="F1595" s="16" t="s">
        <v>36</v>
      </c>
      <c r="G1595" s="16">
        <v>83</v>
      </c>
      <c r="H1595" s="16">
        <v>14643</v>
      </c>
      <c r="I1595" s="16">
        <v>927.3</v>
      </c>
      <c r="J1595" s="19">
        <v>0.65200000000000002</v>
      </c>
      <c r="K1595" s="16">
        <v>87.1</v>
      </c>
      <c r="L1595" s="19">
        <v>0.93100000000000005</v>
      </c>
      <c r="M1595" s="19">
        <v>3.6999999999999998E-2</v>
      </c>
      <c r="N1595" s="21">
        <v>97695.679999999993</v>
      </c>
      <c r="O1595" s="21">
        <v>61878.77</v>
      </c>
      <c r="P1595" s="26">
        <v>35816.910000000003</v>
      </c>
    </row>
    <row r="1596" spans="1:16" x14ac:dyDescent="0.3">
      <c r="A1596" s="25">
        <v>1595</v>
      </c>
      <c r="B1596" s="16" t="s">
        <v>64</v>
      </c>
      <c r="C1596" s="16">
        <v>2025</v>
      </c>
      <c r="D1596" s="16" t="s">
        <v>40</v>
      </c>
      <c r="E1596" s="16" t="s">
        <v>35</v>
      </c>
      <c r="F1596" s="16" t="s">
        <v>36</v>
      </c>
      <c r="G1596" s="16">
        <v>14</v>
      </c>
      <c r="H1596" s="16">
        <v>2519</v>
      </c>
      <c r="I1596" s="16">
        <v>839.9</v>
      </c>
      <c r="J1596" s="19">
        <v>0.70599999999999996</v>
      </c>
      <c r="K1596" s="16">
        <v>85.7</v>
      </c>
      <c r="L1596" s="19">
        <v>0.88300000000000001</v>
      </c>
      <c r="M1596" s="19">
        <v>3.7999999999999999E-2</v>
      </c>
      <c r="N1596" s="21">
        <v>19929.59</v>
      </c>
      <c r="O1596" s="21">
        <v>14366.54</v>
      </c>
      <c r="P1596" s="26">
        <v>5563.05</v>
      </c>
    </row>
    <row r="1597" spans="1:16" x14ac:dyDescent="0.3">
      <c r="A1597" s="25">
        <v>1596</v>
      </c>
      <c r="B1597" s="16" t="s">
        <v>64</v>
      </c>
      <c r="C1597" s="16">
        <v>2025</v>
      </c>
      <c r="D1597" s="16" t="s">
        <v>40</v>
      </c>
      <c r="E1597" s="16" t="s">
        <v>27</v>
      </c>
      <c r="F1597" s="16" t="s">
        <v>37</v>
      </c>
      <c r="G1597" s="16">
        <v>53</v>
      </c>
      <c r="H1597" s="16">
        <v>10355</v>
      </c>
      <c r="I1597" s="16">
        <v>641.70000000000005</v>
      </c>
      <c r="J1597" s="19">
        <v>0.69599999999999995</v>
      </c>
      <c r="K1597" s="16">
        <v>71.8</v>
      </c>
      <c r="L1597" s="19">
        <v>0.91300000000000003</v>
      </c>
      <c r="M1597" s="19">
        <v>3.7999999999999999E-2</v>
      </c>
      <c r="N1597" s="21">
        <v>73115.91</v>
      </c>
      <c r="O1597" s="21">
        <v>49389.43</v>
      </c>
      <c r="P1597" s="26">
        <v>23726.48</v>
      </c>
    </row>
    <row r="1598" spans="1:16" x14ac:dyDescent="0.3">
      <c r="A1598" s="25">
        <v>1597</v>
      </c>
      <c r="B1598" s="16" t="s">
        <v>64</v>
      </c>
      <c r="C1598" s="16">
        <v>2025</v>
      </c>
      <c r="D1598" s="16" t="s">
        <v>40</v>
      </c>
      <c r="E1598" s="16" t="s">
        <v>30</v>
      </c>
      <c r="F1598" s="16" t="s">
        <v>37</v>
      </c>
      <c r="G1598" s="16">
        <v>68</v>
      </c>
      <c r="H1598" s="16">
        <v>9678</v>
      </c>
      <c r="I1598" s="16">
        <v>717.7</v>
      </c>
      <c r="J1598" s="19">
        <v>0.69299999999999995</v>
      </c>
      <c r="K1598" s="16">
        <v>80.599999999999994</v>
      </c>
      <c r="L1598" s="19">
        <v>0.83299999999999996</v>
      </c>
      <c r="M1598" s="19">
        <v>2.1000000000000001E-2</v>
      </c>
      <c r="N1598" s="21">
        <v>96485.7</v>
      </c>
      <c r="O1598" s="21">
        <v>71840.25</v>
      </c>
      <c r="P1598" s="26">
        <v>24645.45</v>
      </c>
    </row>
    <row r="1599" spans="1:16" x14ac:dyDescent="0.3">
      <c r="A1599" s="25">
        <v>1598</v>
      </c>
      <c r="B1599" s="16" t="s">
        <v>64</v>
      </c>
      <c r="C1599" s="16">
        <v>2025</v>
      </c>
      <c r="D1599" s="16" t="s">
        <v>40</v>
      </c>
      <c r="E1599" s="16" t="s">
        <v>35</v>
      </c>
      <c r="F1599" s="16" t="s">
        <v>37</v>
      </c>
      <c r="G1599" s="16">
        <v>62</v>
      </c>
      <c r="H1599" s="16">
        <v>9718</v>
      </c>
      <c r="I1599" s="16">
        <v>658.2</v>
      </c>
      <c r="J1599" s="19">
        <v>0.74299999999999999</v>
      </c>
      <c r="K1599" s="16">
        <v>74</v>
      </c>
      <c r="L1599" s="19">
        <v>0.92</v>
      </c>
      <c r="M1599" s="19">
        <v>2.4E-2</v>
      </c>
      <c r="N1599" s="21">
        <v>67750.73</v>
      </c>
      <c r="O1599" s="21">
        <v>50731.51</v>
      </c>
      <c r="P1599" s="26">
        <v>17019.22</v>
      </c>
    </row>
    <row r="1600" spans="1:16" x14ac:dyDescent="0.3">
      <c r="A1600" s="25">
        <v>1599</v>
      </c>
      <c r="B1600" s="16" t="s">
        <v>64</v>
      </c>
      <c r="C1600" s="16">
        <v>2025</v>
      </c>
      <c r="D1600" s="16" t="s">
        <v>41</v>
      </c>
      <c r="E1600" s="16" t="s">
        <v>31</v>
      </c>
      <c r="F1600" s="16" t="s">
        <v>28</v>
      </c>
      <c r="G1600" s="16">
        <v>37</v>
      </c>
      <c r="H1600" s="16">
        <v>8551</v>
      </c>
      <c r="I1600" s="16">
        <v>443</v>
      </c>
      <c r="J1600" s="19">
        <v>0.76300000000000001</v>
      </c>
      <c r="K1600" s="16">
        <v>90.5</v>
      </c>
      <c r="L1600" s="19">
        <v>0.86899999999999999</v>
      </c>
      <c r="M1600" s="19">
        <v>2.7E-2</v>
      </c>
      <c r="N1600" s="21">
        <v>72048.639999999999</v>
      </c>
      <c r="O1600" s="21">
        <v>54255.93</v>
      </c>
      <c r="P1600" s="26">
        <v>17792.71</v>
      </c>
    </row>
    <row r="1601" spans="1:16" x14ac:dyDescent="0.3">
      <c r="A1601" s="25">
        <v>1600</v>
      </c>
      <c r="B1601" s="16" t="s">
        <v>64</v>
      </c>
      <c r="C1601" s="16">
        <v>2025</v>
      </c>
      <c r="D1601" s="16" t="s">
        <v>41</v>
      </c>
      <c r="E1601" s="16" t="s">
        <v>35</v>
      </c>
      <c r="F1601" s="16" t="s">
        <v>28</v>
      </c>
      <c r="G1601" s="16">
        <v>72</v>
      </c>
      <c r="H1601" s="16">
        <v>13230</v>
      </c>
      <c r="I1601" s="16">
        <v>454.3</v>
      </c>
      <c r="J1601" s="19">
        <v>0.83799999999999997</v>
      </c>
      <c r="K1601" s="16">
        <v>91.9</v>
      </c>
      <c r="L1601" s="19">
        <v>0.80500000000000005</v>
      </c>
      <c r="M1601" s="19">
        <v>3.6999999999999998E-2</v>
      </c>
      <c r="N1601" s="21">
        <v>153933.29</v>
      </c>
      <c r="O1601" s="21">
        <v>117909.86</v>
      </c>
      <c r="P1601" s="26">
        <v>36023.43</v>
      </c>
    </row>
    <row r="1602" spans="1:16" x14ac:dyDescent="0.3">
      <c r="A1602" s="25">
        <v>1601</v>
      </c>
      <c r="B1602" s="16" t="s">
        <v>64</v>
      </c>
      <c r="C1602" s="16">
        <v>2025</v>
      </c>
      <c r="D1602" s="16" t="s">
        <v>41</v>
      </c>
      <c r="E1602" s="16" t="s">
        <v>30</v>
      </c>
      <c r="F1602" s="16" t="s">
        <v>29</v>
      </c>
      <c r="G1602" s="16">
        <v>43</v>
      </c>
      <c r="H1602" s="16">
        <v>6828</v>
      </c>
      <c r="I1602" s="16">
        <v>307.60000000000002</v>
      </c>
      <c r="J1602" s="19">
        <v>0.61699999999999999</v>
      </c>
      <c r="K1602" s="16">
        <v>83.3</v>
      </c>
      <c r="L1602" s="19">
        <v>0.77900000000000003</v>
      </c>
      <c r="M1602" s="19">
        <v>3.5000000000000003E-2</v>
      </c>
      <c r="N1602" s="21">
        <v>70082.81</v>
      </c>
      <c r="O1602" s="21">
        <v>46329.68</v>
      </c>
      <c r="P1602" s="26">
        <v>23753.13</v>
      </c>
    </row>
    <row r="1603" spans="1:16" x14ac:dyDescent="0.3">
      <c r="A1603" s="25">
        <v>1602</v>
      </c>
      <c r="B1603" s="16" t="s">
        <v>64</v>
      </c>
      <c r="C1603" s="16">
        <v>2025</v>
      </c>
      <c r="D1603" s="16" t="s">
        <v>41</v>
      </c>
      <c r="E1603" s="16" t="s">
        <v>30</v>
      </c>
      <c r="F1603" s="16" t="s">
        <v>33</v>
      </c>
      <c r="G1603" s="16">
        <v>40</v>
      </c>
      <c r="H1603" s="16">
        <v>6513</v>
      </c>
      <c r="I1603" s="16">
        <v>459.9</v>
      </c>
      <c r="J1603" s="19">
        <v>0.75900000000000001</v>
      </c>
      <c r="K1603" s="16">
        <v>93.6</v>
      </c>
      <c r="L1603" s="19">
        <v>0.95299999999999996</v>
      </c>
      <c r="M1603" s="19">
        <v>3.6999999999999998E-2</v>
      </c>
      <c r="N1603" s="21">
        <v>85562</v>
      </c>
      <c r="O1603" s="21">
        <v>56631.68</v>
      </c>
      <c r="P1603" s="26">
        <v>28930.32</v>
      </c>
    </row>
    <row r="1604" spans="1:16" x14ac:dyDescent="0.3">
      <c r="A1604" s="25">
        <v>1603</v>
      </c>
      <c r="B1604" s="16" t="s">
        <v>64</v>
      </c>
      <c r="C1604" s="16">
        <v>2025</v>
      </c>
      <c r="D1604" s="16" t="s">
        <v>41</v>
      </c>
      <c r="E1604" s="16" t="s">
        <v>34</v>
      </c>
      <c r="F1604" s="16" t="s">
        <v>33</v>
      </c>
      <c r="G1604" s="16">
        <v>36</v>
      </c>
      <c r="H1604" s="16">
        <v>5478</v>
      </c>
      <c r="I1604" s="16">
        <v>459.1</v>
      </c>
      <c r="J1604" s="19">
        <v>0.78400000000000003</v>
      </c>
      <c r="K1604" s="16">
        <v>89.7</v>
      </c>
      <c r="L1604" s="19">
        <v>0.83</v>
      </c>
      <c r="M1604" s="19">
        <v>3.6999999999999998E-2</v>
      </c>
      <c r="N1604" s="21">
        <v>82084.11</v>
      </c>
      <c r="O1604" s="21">
        <v>51672.31</v>
      </c>
      <c r="P1604" s="26">
        <v>30411.8</v>
      </c>
    </row>
    <row r="1605" spans="1:16" x14ac:dyDescent="0.3">
      <c r="A1605" s="25">
        <v>1604</v>
      </c>
      <c r="B1605" s="16" t="s">
        <v>64</v>
      </c>
      <c r="C1605" s="16">
        <v>2025</v>
      </c>
      <c r="D1605" s="16" t="s">
        <v>41</v>
      </c>
      <c r="E1605" s="16" t="s">
        <v>31</v>
      </c>
      <c r="F1605" s="16" t="s">
        <v>33</v>
      </c>
      <c r="G1605" s="16">
        <v>42</v>
      </c>
      <c r="H1605" s="16">
        <v>5795</v>
      </c>
      <c r="I1605" s="16">
        <v>462.4</v>
      </c>
      <c r="J1605" s="19">
        <v>0.88900000000000001</v>
      </c>
      <c r="K1605" s="16">
        <v>86.1</v>
      </c>
      <c r="L1605" s="19">
        <v>0.88800000000000001</v>
      </c>
      <c r="M1605" s="19">
        <v>2.7E-2</v>
      </c>
      <c r="N1605" s="21">
        <v>86111.53</v>
      </c>
      <c r="O1605" s="21">
        <v>61338.57</v>
      </c>
      <c r="P1605" s="26">
        <v>24772.959999999999</v>
      </c>
    </row>
    <row r="1606" spans="1:16" x14ac:dyDescent="0.3">
      <c r="A1606" s="25">
        <v>1605</v>
      </c>
      <c r="B1606" s="16" t="s">
        <v>64</v>
      </c>
      <c r="C1606" s="16">
        <v>2025</v>
      </c>
      <c r="D1606" s="16" t="s">
        <v>41</v>
      </c>
      <c r="E1606" s="16" t="s">
        <v>32</v>
      </c>
      <c r="F1606" s="16" t="s">
        <v>36</v>
      </c>
      <c r="G1606" s="16">
        <v>42</v>
      </c>
      <c r="H1606" s="16">
        <v>7786</v>
      </c>
      <c r="I1606" s="16">
        <v>886.3</v>
      </c>
      <c r="J1606" s="19">
        <v>0.67800000000000005</v>
      </c>
      <c r="K1606" s="16">
        <v>87.7</v>
      </c>
      <c r="L1606" s="19">
        <v>0.89700000000000002</v>
      </c>
      <c r="M1606" s="19">
        <v>4.1000000000000002E-2</v>
      </c>
      <c r="N1606" s="21">
        <v>66814.83</v>
      </c>
      <c r="O1606" s="21">
        <v>50164.03</v>
      </c>
      <c r="P1606" s="26">
        <v>16650.8</v>
      </c>
    </row>
    <row r="1607" spans="1:16" x14ac:dyDescent="0.3">
      <c r="A1607" s="25">
        <v>1606</v>
      </c>
      <c r="B1607" s="16" t="s">
        <v>64</v>
      </c>
      <c r="C1607" s="16">
        <v>2025</v>
      </c>
      <c r="D1607" s="16" t="s">
        <v>41</v>
      </c>
      <c r="E1607" s="16" t="s">
        <v>27</v>
      </c>
      <c r="F1607" s="16" t="s">
        <v>36</v>
      </c>
      <c r="G1607" s="16">
        <v>68</v>
      </c>
      <c r="H1607" s="16">
        <v>10831</v>
      </c>
      <c r="I1607" s="16">
        <v>919</v>
      </c>
      <c r="J1607" s="19">
        <v>0.747</v>
      </c>
      <c r="K1607" s="16">
        <v>87.9</v>
      </c>
      <c r="L1607" s="19">
        <v>0.93899999999999995</v>
      </c>
      <c r="M1607" s="19">
        <v>4.2999999999999997E-2</v>
      </c>
      <c r="N1607" s="21">
        <v>157541.26</v>
      </c>
      <c r="O1607" s="21">
        <v>106634.73</v>
      </c>
      <c r="P1607" s="26">
        <v>50906.53</v>
      </c>
    </row>
    <row r="1608" spans="1:16" x14ac:dyDescent="0.3">
      <c r="A1608" s="25">
        <v>1607</v>
      </c>
      <c r="B1608" s="16" t="s">
        <v>64</v>
      </c>
      <c r="C1608" s="16">
        <v>2025</v>
      </c>
      <c r="D1608" s="16" t="s">
        <v>41</v>
      </c>
      <c r="E1608" s="16" t="s">
        <v>30</v>
      </c>
      <c r="F1608" s="16" t="s">
        <v>36</v>
      </c>
      <c r="G1608" s="16">
        <v>42</v>
      </c>
      <c r="H1608" s="16">
        <v>5361</v>
      </c>
      <c r="I1608" s="16">
        <v>874.4</v>
      </c>
      <c r="J1608" s="19">
        <v>0.67800000000000005</v>
      </c>
      <c r="K1608" s="16">
        <v>91.3</v>
      </c>
      <c r="L1608" s="19">
        <v>0.98399999999999999</v>
      </c>
      <c r="M1608" s="19">
        <v>2.5999999999999999E-2</v>
      </c>
      <c r="N1608" s="21">
        <v>65684.289999999994</v>
      </c>
      <c r="O1608" s="21">
        <v>42565.5</v>
      </c>
      <c r="P1608" s="26">
        <v>23118.79</v>
      </c>
    </row>
    <row r="1609" spans="1:16" x14ac:dyDescent="0.3">
      <c r="A1609" s="25">
        <v>1608</v>
      </c>
      <c r="B1609" s="16" t="s">
        <v>64</v>
      </c>
      <c r="C1609" s="16">
        <v>2025</v>
      </c>
      <c r="D1609" s="16" t="s">
        <v>41</v>
      </c>
      <c r="E1609" s="16" t="s">
        <v>32</v>
      </c>
      <c r="F1609" s="16" t="s">
        <v>37</v>
      </c>
      <c r="G1609" s="16">
        <v>27</v>
      </c>
      <c r="H1609" s="16">
        <v>4585</v>
      </c>
      <c r="I1609" s="16">
        <v>704.9</v>
      </c>
      <c r="J1609" s="19">
        <v>0.67500000000000004</v>
      </c>
      <c r="K1609" s="16">
        <v>81.7</v>
      </c>
      <c r="L1609" s="19">
        <v>0.90300000000000002</v>
      </c>
      <c r="M1609" s="19">
        <v>3.2000000000000001E-2</v>
      </c>
      <c r="N1609" s="21">
        <v>47879.23</v>
      </c>
      <c r="O1609" s="21">
        <v>33288.68</v>
      </c>
      <c r="P1609" s="26">
        <v>14590.55</v>
      </c>
    </row>
    <row r="1610" spans="1:16" x14ac:dyDescent="0.3">
      <c r="A1610" s="25">
        <v>1609</v>
      </c>
      <c r="B1610" s="16" t="s">
        <v>64</v>
      </c>
      <c r="C1610" s="16">
        <v>2025</v>
      </c>
      <c r="D1610" s="16" t="s">
        <v>41</v>
      </c>
      <c r="E1610" s="16" t="s">
        <v>30</v>
      </c>
      <c r="F1610" s="16" t="s">
        <v>37</v>
      </c>
      <c r="G1610" s="16">
        <v>30</v>
      </c>
      <c r="H1610" s="16">
        <v>5075</v>
      </c>
      <c r="I1610" s="16">
        <v>617.1</v>
      </c>
      <c r="J1610" s="19">
        <v>0.69099999999999995</v>
      </c>
      <c r="K1610" s="16">
        <v>84.1</v>
      </c>
      <c r="L1610" s="19">
        <v>0.96099999999999997</v>
      </c>
      <c r="M1610" s="19">
        <v>0.03</v>
      </c>
      <c r="N1610" s="21">
        <v>65219.41</v>
      </c>
      <c r="O1610" s="21">
        <v>42350.7</v>
      </c>
      <c r="P1610" s="26">
        <v>22868.71</v>
      </c>
    </row>
    <row r="1611" spans="1:16" x14ac:dyDescent="0.3">
      <c r="A1611" s="27">
        <v>1610</v>
      </c>
      <c r="B1611" s="28" t="s">
        <v>64</v>
      </c>
      <c r="C1611" s="28">
        <v>2025</v>
      </c>
      <c r="D1611" s="28" t="s">
        <v>41</v>
      </c>
      <c r="E1611" s="28" t="s">
        <v>34</v>
      </c>
      <c r="F1611" s="28" t="s">
        <v>37</v>
      </c>
      <c r="G1611" s="28">
        <v>51</v>
      </c>
      <c r="H1611" s="28">
        <v>7564</v>
      </c>
      <c r="I1611" s="28">
        <v>739.7</v>
      </c>
      <c r="J1611" s="29">
        <v>0.72199999999999998</v>
      </c>
      <c r="K1611" s="28">
        <v>86</v>
      </c>
      <c r="L1611" s="29">
        <v>0.89800000000000002</v>
      </c>
      <c r="M1611" s="29">
        <v>3.5999999999999997E-2</v>
      </c>
      <c r="N1611" s="30">
        <v>107353.91</v>
      </c>
      <c r="O1611" s="30">
        <v>80551.62</v>
      </c>
      <c r="P1611" s="31">
        <v>26802.29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"/>
  <sheetViews>
    <sheetView zoomScaleNormal="100" workbookViewId="0">
      <pane ySplit="1" topLeftCell="A2" activePane="bottomLeft" state="frozen"/>
      <selection pane="bottomLeft" activeCell="C19" sqref="C19"/>
    </sheetView>
  </sheetViews>
  <sheetFormatPr defaultColWidth="8.6640625" defaultRowHeight="14.4" x14ac:dyDescent="0.3"/>
  <cols>
    <col min="1" max="1" width="16" customWidth="1"/>
    <col min="2" max="2" width="12" customWidth="1"/>
    <col min="3" max="3" width="16" customWidth="1"/>
    <col min="4" max="4" width="12" customWidth="1"/>
    <col min="5" max="5" width="11" customWidth="1"/>
    <col min="6" max="6" width="12" customWidth="1"/>
    <col min="7" max="7" width="13" customWidth="1"/>
    <col min="8" max="8" width="14" customWidth="1"/>
    <col min="9" max="9" width="16" customWidth="1"/>
    <col min="10" max="11" width="14" customWidth="1"/>
    <col min="12" max="12" width="13" customWidth="1"/>
  </cols>
  <sheetData>
    <row r="1" spans="1:12" ht="30" customHeight="1" x14ac:dyDescent="0.3">
      <c r="A1" s="15" t="s">
        <v>12</v>
      </c>
      <c r="B1" s="15" t="s">
        <v>65</v>
      </c>
      <c r="C1" s="15" t="s">
        <v>6</v>
      </c>
      <c r="D1" s="15" t="s">
        <v>66</v>
      </c>
      <c r="E1" s="15" t="s">
        <v>67</v>
      </c>
      <c r="F1" s="15" t="s">
        <v>4</v>
      </c>
      <c r="G1" s="15" t="s">
        <v>68</v>
      </c>
      <c r="H1" s="15" t="s">
        <v>5</v>
      </c>
      <c r="I1" s="15" t="s">
        <v>69</v>
      </c>
      <c r="J1" s="15" t="s">
        <v>70</v>
      </c>
      <c r="K1" s="15" t="s">
        <v>71</v>
      </c>
      <c r="L1" s="15" t="s">
        <v>72</v>
      </c>
    </row>
    <row r="2" spans="1:12" x14ac:dyDescent="0.3">
      <c r="A2" s="16" t="s">
        <v>39</v>
      </c>
      <c r="B2" s="17">
        <f>SUMIFS('Raw Data'!$G:$G,'Raw Data'!$D:$D,$A2)</f>
        <v>15441</v>
      </c>
      <c r="C2" s="17">
        <f>SUMIFS('Raw Data'!$H:$H,'Raw Data'!$D:$D,$A2)</f>
        <v>2495828</v>
      </c>
      <c r="D2" s="18">
        <f>AVERAGEIFS('Raw Data'!$I:$I,'Raw Data'!$D:$D,$A2)</f>
        <v>551.42054380664661</v>
      </c>
      <c r="E2" s="19">
        <f>AVERAGEIFS('Raw Data'!$J:$J,'Raw Data'!$D:$D,$A2)</f>
        <v>0.71284592145015069</v>
      </c>
      <c r="F2" s="20">
        <f>AVERAGEIFS('Raw Data'!$K:$K,'Raw Data'!$D:$D,$A2)</f>
        <v>80.454984894259809</v>
      </c>
      <c r="G2" s="19">
        <f>AVERAGEIFS('Raw Data'!$L:$L,'Raw Data'!$D:$D,$A2)</f>
        <v>0.90692749244712989</v>
      </c>
      <c r="H2" s="19">
        <f>AVERAGEIFS('Raw Data'!$M:$M,'Raw Data'!$D:$D,$A2)</f>
        <v>3.290332326283988E-2</v>
      </c>
      <c r="I2" s="21">
        <f>SUMIFS('Raw Data'!$N:$N,'Raw Data'!$D:$D,$A2)</f>
        <v>22598277.989999998</v>
      </c>
      <c r="J2" s="21">
        <f>SUMIFS('Raw Data'!$O:$O,'Raw Data'!$D:$D,$A2)</f>
        <v>15840071.479999997</v>
      </c>
      <c r="K2" s="21">
        <f>SUMIFS('Raw Data'!$P:$P,'Raw Data'!$D:$D,$A2)</f>
        <v>6758206.5100000016</v>
      </c>
      <c r="L2" s="19">
        <f>IFERROR(K2/I2,0)</f>
        <v>0.29905847308324052</v>
      </c>
    </row>
    <row r="3" spans="1:12" x14ac:dyDescent="0.3">
      <c r="A3" s="16" t="s">
        <v>40</v>
      </c>
      <c r="B3" s="17">
        <f>SUMIFS('Raw Data'!$G:$G,'Raw Data'!$D:$D,$A3)</f>
        <v>14598</v>
      </c>
      <c r="C3" s="17">
        <f>SUMIFS('Raw Data'!$H:$H,'Raw Data'!$D:$D,$A3)</f>
        <v>2320245</v>
      </c>
      <c r="D3" s="18">
        <f>AVERAGEIFS('Raw Data'!$I:$I,'Raw Data'!$D:$D,$A3)</f>
        <v>557.38414239482211</v>
      </c>
      <c r="E3" s="19">
        <f>AVERAGEIFS('Raw Data'!$J:$J,'Raw Data'!$D:$D,$A3)</f>
        <v>0.7081844660194172</v>
      </c>
      <c r="F3" s="20">
        <f>AVERAGEIFS('Raw Data'!$K:$K,'Raw Data'!$D:$D,$A3)</f>
        <v>82.314886731391525</v>
      </c>
      <c r="G3" s="19">
        <f>AVERAGEIFS('Raw Data'!$L:$L,'Raw Data'!$D:$D,$A3)</f>
        <v>0.89777022653721716</v>
      </c>
      <c r="H3" s="19">
        <f>AVERAGEIFS('Raw Data'!$M:$M,'Raw Data'!$D:$D,$A3)</f>
        <v>2.7200647249190902E-2</v>
      </c>
      <c r="I3" s="21">
        <f>SUMIFS('Raw Data'!$N:$N,'Raw Data'!$D:$D,$A3)</f>
        <v>20155383.249999993</v>
      </c>
      <c r="J3" s="21">
        <f>SUMIFS('Raw Data'!$O:$O,'Raw Data'!$D:$D,$A3)</f>
        <v>14121507.060000006</v>
      </c>
      <c r="K3" s="21">
        <f>SUMIFS('Raw Data'!$P:$P,'Raw Data'!$D:$D,$A3)</f>
        <v>6033876.1899999976</v>
      </c>
      <c r="L3" s="19">
        <f>IFERROR(K3/I3,0)</f>
        <v>0.29936797108534269</v>
      </c>
    </row>
    <row r="4" spans="1:12" x14ac:dyDescent="0.3">
      <c r="A4" s="16" t="s">
        <v>26</v>
      </c>
      <c r="B4" s="17">
        <f>SUMIFS('Raw Data'!$G:$G,'Raw Data'!$D:$D,$A4)</f>
        <v>14896</v>
      </c>
      <c r="C4" s="17">
        <f>SUMIFS('Raw Data'!$H:$H,'Raw Data'!$D:$D,$A4)</f>
        <v>2385409</v>
      </c>
      <c r="D4" s="18">
        <f>AVERAGEIFS('Raw Data'!$I:$I,'Raw Data'!$D:$D,$A4)</f>
        <v>543.10223642172582</v>
      </c>
      <c r="E4" s="19">
        <f>AVERAGEIFS('Raw Data'!$J:$J,'Raw Data'!$D:$D,$A4)</f>
        <v>0.71074440894568702</v>
      </c>
      <c r="F4" s="20">
        <f>AVERAGEIFS('Raw Data'!$K:$K,'Raw Data'!$D:$D,$A4)</f>
        <v>81.18051118210866</v>
      </c>
      <c r="G4" s="19">
        <f>AVERAGEIFS('Raw Data'!$L:$L,'Raw Data'!$D:$D,$A4)</f>
        <v>0.89487539936102256</v>
      </c>
      <c r="H4" s="19">
        <f>AVERAGEIFS('Raw Data'!$M:$M,'Raw Data'!$D:$D,$A4)</f>
        <v>2.9702875399361006E-2</v>
      </c>
      <c r="I4" s="21">
        <f>SUMIFS('Raw Data'!$N:$N,'Raw Data'!$D:$D,$A4)</f>
        <v>18361804.09</v>
      </c>
      <c r="J4" s="21">
        <f>SUMIFS('Raw Data'!$O:$O,'Raw Data'!$D:$D,$A4)</f>
        <v>12830477.530000001</v>
      </c>
      <c r="K4" s="21">
        <f>SUMIFS('Raw Data'!$P:$P,'Raw Data'!$D:$D,$A4)</f>
        <v>5531326.5599999987</v>
      </c>
      <c r="L4" s="19">
        <f>IFERROR(K4/I4,0)</f>
        <v>0.30124090927494473</v>
      </c>
    </row>
    <row r="5" spans="1:12" x14ac:dyDescent="0.3">
      <c r="A5" s="16" t="s">
        <v>41</v>
      </c>
      <c r="B5" s="17">
        <f>SUMIFS('Raw Data'!$G:$G,'Raw Data'!$D:$D,$A5)</f>
        <v>14187</v>
      </c>
      <c r="C5" s="17">
        <f>SUMIFS('Raw Data'!$H:$H,'Raw Data'!$D:$D,$A5)</f>
        <v>2274673</v>
      </c>
      <c r="D5" s="18">
        <f>AVERAGEIFS('Raw Data'!$I:$I,'Raw Data'!$D:$D,$A5)</f>
        <v>543.48144654088048</v>
      </c>
      <c r="E5" s="19">
        <f>AVERAGEIFS('Raw Data'!$J:$J,'Raw Data'!$D:$D,$A5)</f>
        <v>0.70644968553459131</v>
      </c>
      <c r="F5" s="20">
        <f>AVERAGEIFS('Raw Data'!$K:$K,'Raw Data'!$D:$D,$A5)</f>
        <v>85.803459119496864</v>
      </c>
      <c r="G5" s="19">
        <f>AVERAGEIFS('Raw Data'!$L:$L,'Raw Data'!$D:$D,$A5)</f>
        <v>0.89833647798742133</v>
      </c>
      <c r="H5" s="19">
        <f>AVERAGEIFS('Raw Data'!$M:$M,'Raw Data'!$D:$D,$A5)</f>
        <v>2.3003144654088037E-2</v>
      </c>
      <c r="I5" s="21">
        <f>SUMIFS('Raw Data'!$N:$N,'Raw Data'!$D:$D,$A5)</f>
        <v>25049594.670000006</v>
      </c>
      <c r="J5" s="21">
        <f>SUMIFS('Raw Data'!$O:$O,'Raw Data'!$D:$D,$A5)</f>
        <v>17552982.489999987</v>
      </c>
      <c r="K5" s="21">
        <f>SUMIFS('Raw Data'!$P:$P,'Raw Data'!$D:$D,$A5)</f>
        <v>7496612.1800000025</v>
      </c>
      <c r="L5" s="19">
        <f>IFERROR(K5/I5,0)</f>
        <v>0.29927079774181437</v>
      </c>
    </row>
    <row r="6" spans="1:12" x14ac:dyDescent="0.3">
      <c r="A6" s="16" t="s">
        <v>38</v>
      </c>
      <c r="B6" s="17">
        <f>SUMIFS('Raw Data'!$G:$G,'Raw Data'!$D:$D,$A6)</f>
        <v>15811</v>
      </c>
      <c r="C6" s="17">
        <f>SUMIFS('Raw Data'!$H:$H,'Raw Data'!$D:$D,$A6)</f>
        <v>2509818</v>
      </c>
      <c r="D6" s="18">
        <f>AVERAGEIFS('Raw Data'!$I:$I,'Raw Data'!$D:$D,$A6)</f>
        <v>561.08200589970454</v>
      </c>
      <c r="E6" s="19">
        <f>AVERAGEIFS('Raw Data'!$J:$J,'Raw Data'!$D:$D,$A6)</f>
        <v>0.70605604719763959</v>
      </c>
      <c r="F6" s="20">
        <f>AVERAGEIFS('Raw Data'!$K:$K,'Raw Data'!$D:$D,$A6)</f>
        <v>83.559587020648991</v>
      </c>
      <c r="G6" s="19">
        <f>AVERAGEIFS('Raw Data'!$L:$L,'Raw Data'!$D:$D,$A6)</f>
        <v>0.90317994100295051</v>
      </c>
      <c r="H6" s="19">
        <f>AVERAGEIFS('Raw Data'!$M:$M,'Raw Data'!$D:$D,$A6)</f>
        <v>3.5020648967551582E-2</v>
      </c>
      <c r="I6" s="21">
        <f>SUMIFS('Raw Data'!$N:$N,'Raw Data'!$D:$D,$A6)</f>
        <v>21032055.720000003</v>
      </c>
      <c r="J6" s="21">
        <f>SUMIFS('Raw Data'!$O:$O,'Raw Data'!$D:$D,$A6)</f>
        <v>14588011.489999993</v>
      </c>
      <c r="K6" s="21">
        <f>SUMIFS('Raw Data'!$P:$P,'Raw Data'!$D:$D,$A6)</f>
        <v>6444044.2299999995</v>
      </c>
      <c r="L6" s="19">
        <f>IFERROR(K6/I6,0)</f>
        <v>0.30639155372112142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"/>
  <sheetViews>
    <sheetView zoomScaleNormal="100" workbookViewId="0">
      <pane ySplit="1" topLeftCell="A2" activePane="bottomLeft" state="frozen"/>
      <selection pane="bottomLeft" sqref="A1:L7"/>
    </sheetView>
  </sheetViews>
  <sheetFormatPr defaultColWidth="8.6640625" defaultRowHeight="14.4" x14ac:dyDescent="0.3"/>
  <cols>
    <col min="1" max="1" width="23.109375" customWidth="1"/>
    <col min="2" max="2" width="12" customWidth="1"/>
    <col min="3" max="3" width="16" customWidth="1"/>
    <col min="4" max="4" width="12" customWidth="1"/>
    <col min="5" max="5" width="11" customWidth="1"/>
    <col min="6" max="6" width="12" customWidth="1"/>
    <col min="7" max="7" width="13" customWidth="1"/>
    <col min="8" max="8" width="14" customWidth="1"/>
    <col min="9" max="9" width="16" customWidth="1"/>
    <col min="10" max="11" width="14" customWidth="1"/>
    <col min="12" max="12" width="13" customWidth="1"/>
  </cols>
  <sheetData>
    <row r="1" spans="1:12" ht="30" customHeight="1" x14ac:dyDescent="0.3">
      <c r="A1" s="15" t="s">
        <v>13</v>
      </c>
      <c r="B1" s="15" t="s">
        <v>65</v>
      </c>
      <c r="C1" s="15" t="s">
        <v>6</v>
      </c>
      <c r="D1" s="15" t="s">
        <v>66</v>
      </c>
      <c r="E1" s="15" t="s">
        <v>67</v>
      </c>
      <c r="F1" s="15" t="s">
        <v>4</v>
      </c>
      <c r="G1" s="15" t="s">
        <v>68</v>
      </c>
      <c r="H1" s="15" t="s">
        <v>5</v>
      </c>
      <c r="I1" s="15" t="s">
        <v>69</v>
      </c>
      <c r="J1" s="15" t="s">
        <v>70</v>
      </c>
      <c r="K1" s="15" t="s">
        <v>71</v>
      </c>
      <c r="L1" s="15" t="s">
        <v>72</v>
      </c>
    </row>
    <row r="2" spans="1:12" x14ac:dyDescent="0.3">
      <c r="A2" s="16" t="s">
        <v>30</v>
      </c>
      <c r="B2" s="17">
        <f>SUMIFS('Raw Data'!$G:$G,'Raw Data'!$E:$E,$A2)</f>
        <v>12698</v>
      </c>
      <c r="C2" s="17">
        <f>SUMIFS('Raw Data'!$H:$H,'Raw Data'!$E:$E,$A2)</f>
        <v>2005427</v>
      </c>
      <c r="D2" s="18">
        <f>AVERAGEIFS('Raw Data'!$I:$I,'Raw Data'!$E:$E,$A2)</f>
        <v>551.38629629629656</v>
      </c>
      <c r="E2" s="19">
        <f>AVERAGEIFS('Raw Data'!$J:$J,'Raw Data'!$E:$E,$A2)</f>
        <v>0.70865555555555559</v>
      </c>
      <c r="F2" s="20">
        <f>AVERAGEIFS('Raw Data'!$K:$K,'Raw Data'!$E:$E,$A2)</f>
        <v>82.729629629629613</v>
      </c>
      <c r="G2" s="19">
        <f>AVERAGEIFS('Raw Data'!$L:$L,'Raw Data'!$E:$E,$A2)</f>
        <v>0.90585925925925992</v>
      </c>
      <c r="H2" s="19">
        <f>AVERAGEIFS('Raw Data'!$M:$M,'Raw Data'!$E:$E,$A2)</f>
        <v>3.0303703703703697E-2</v>
      </c>
      <c r="I2" s="21">
        <f>SUMIFS('Raw Data'!$N:$N,'Raw Data'!$E:$E,$A2)</f>
        <v>18127952.939999998</v>
      </c>
      <c r="J2" s="21">
        <f>SUMIFS('Raw Data'!$O:$O,'Raw Data'!$E:$E,$A2)</f>
        <v>12678488.610000012</v>
      </c>
      <c r="K2" s="21">
        <f>SUMIFS('Raw Data'!$P:$P,'Raw Data'!$E:$E,$A2)</f>
        <v>5449464.3300000029</v>
      </c>
      <c r="L2" s="19">
        <f t="shared" ref="L2:L7" si="0">IFERROR(K2/I2,0)</f>
        <v>0.30061112515222604</v>
      </c>
    </row>
    <row r="3" spans="1:12" x14ac:dyDescent="0.3">
      <c r="A3" s="16" t="s">
        <v>35</v>
      </c>
      <c r="B3" s="17">
        <f>SUMIFS('Raw Data'!$G:$G,'Raw Data'!$E:$E,$A3)</f>
        <v>11916</v>
      </c>
      <c r="C3" s="17">
        <f>SUMIFS('Raw Data'!$H:$H,'Raw Data'!$E:$E,$A3)</f>
        <v>1892712</v>
      </c>
      <c r="D3" s="18">
        <f>AVERAGEIFS('Raw Data'!$I:$I,'Raw Data'!$E:$E,$A3)</f>
        <v>545.86590038314159</v>
      </c>
      <c r="E3" s="19">
        <f>AVERAGEIFS('Raw Data'!$J:$J,'Raw Data'!$E:$E,$A3)</f>
        <v>0.70737164750957893</v>
      </c>
      <c r="F3" s="20">
        <f>AVERAGEIFS('Raw Data'!$K:$K,'Raw Data'!$E:$E,$A3)</f>
        <v>82.570114942528676</v>
      </c>
      <c r="G3" s="19">
        <f>AVERAGEIFS('Raw Data'!$L:$L,'Raw Data'!$E:$E,$A3)</f>
        <v>0.89692337164750946</v>
      </c>
      <c r="H3" s="19">
        <f>AVERAGEIFS('Raw Data'!$M:$M,'Raw Data'!$E:$E,$A3)</f>
        <v>2.9911877394635994E-2</v>
      </c>
      <c r="I3" s="21">
        <f>SUMIFS('Raw Data'!$N:$N,'Raw Data'!$E:$E,$A3)</f>
        <v>17054797.100000009</v>
      </c>
      <c r="J3" s="21">
        <f>SUMIFS('Raw Data'!$O:$O,'Raw Data'!$E:$E,$A3)</f>
        <v>11955185.269999992</v>
      </c>
      <c r="K3" s="21">
        <f>SUMIFS('Raw Data'!$P:$P,'Raw Data'!$E:$E,$A3)</f>
        <v>5099611.8299999963</v>
      </c>
      <c r="L3" s="19">
        <f t="shared" si="0"/>
        <v>0.29901333918537171</v>
      </c>
    </row>
    <row r="4" spans="1:12" x14ac:dyDescent="0.3">
      <c r="A4" s="16" t="s">
        <v>34</v>
      </c>
      <c r="B4" s="17">
        <f>SUMIFS('Raw Data'!$G:$G,'Raw Data'!$E:$E,$A4)</f>
        <v>12073</v>
      </c>
      <c r="C4" s="17">
        <f>SUMIFS('Raw Data'!$H:$H,'Raw Data'!$E:$E,$A4)</f>
        <v>1933966</v>
      </c>
      <c r="D4" s="18">
        <f>AVERAGEIFS('Raw Data'!$I:$I,'Raw Data'!$E:$E,$A4)</f>
        <v>561.28549618320653</v>
      </c>
      <c r="E4" s="19">
        <f>AVERAGEIFS('Raw Data'!$J:$J,'Raw Data'!$E:$E,$A4)</f>
        <v>0.71461832061068664</v>
      </c>
      <c r="F4" s="20">
        <f>AVERAGEIFS('Raw Data'!$K:$K,'Raw Data'!$E:$E,$A4)</f>
        <v>83.014122137404556</v>
      </c>
      <c r="G4" s="19">
        <f>AVERAGEIFS('Raw Data'!$L:$L,'Raw Data'!$E:$E,$A4)</f>
        <v>0.90265648854961889</v>
      </c>
      <c r="H4" s="19">
        <f>AVERAGEIFS('Raw Data'!$M:$M,'Raw Data'!$E:$E,$A4)</f>
        <v>2.9755725190839664E-2</v>
      </c>
      <c r="I4" s="21">
        <f>SUMIFS('Raw Data'!$N:$N,'Raw Data'!$E:$E,$A4)</f>
        <v>17488938.670000002</v>
      </c>
      <c r="J4" s="21">
        <f>SUMIFS('Raw Data'!$O:$O,'Raw Data'!$E:$E,$A4)</f>
        <v>12257778.159999998</v>
      </c>
      <c r="K4" s="21">
        <f>SUMIFS('Raw Data'!$P:$P,'Raw Data'!$E:$E,$A4)</f>
        <v>5231160.5099999988</v>
      </c>
      <c r="L4" s="19">
        <f t="shared" si="0"/>
        <v>0.29911251955919854</v>
      </c>
    </row>
    <row r="5" spans="1:12" x14ac:dyDescent="0.3">
      <c r="A5" s="16" t="s">
        <v>27</v>
      </c>
      <c r="B5" s="17">
        <f>SUMIFS('Raw Data'!$G:$G,'Raw Data'!$E:$E,$A5)</f>
        <v>13047</v>
      </c>
      <c r="C5" s="17">
        <f>SUMIFS('Raw Data'!$H:$H,'Raw Data'!$E:$E,$A5)</f>
        <v>2084178</v>
      </c>
      <c r="D5" s="18">
        <f>AVERAGEIFS('Raw Data'!$I:$I,'Raw Data'!$E:$E,$A5)</f>
        <v>547.91785714285732</v>
      </c>
      <c r="E5" s="19">
        <f>AVERAGEIFS('Raw Data'!$J:$J,'Raw Data'!$E:$E,$A5)</f>
        <v>0.70528214285714297</v>
      </c>
      <c r="F5" s="20">
        <f>AVERAGEIFS('Raw Data'!$K:$K,'Raw Data'!$E:$E,$A5)</f>
        <v>82.094285714285732</v>
      </c>
      <c r="G5" s="19">
        <f>AVERAGEIFS('Raw Data'!$L:$L,'Raw Data'!$E:$E,$A5)</f>
        <v>0.89802142857142875</v>
      </c>
      <c r="H5" s="19">
        <f>AVERAGEIFS('Raw Data'!$M:$M,'Raw Data'!$E:$E,$A5)</f>
        <v>2.9103571428571399E-2</v>
      </c>
      <c r="I5" s="21">
        <f>SUMIFS('Raw Data'!$N:$N,'Raw Data'!$E:$E,$A5)</f>
        <v>18542292.40000001</v>
      </c>
      <c r="J5" s="21">
        <f>SUMIFS('Raw Data'!$O:$O,'Raw Data'!$E:$E,$A5)</f>
        <v>12912415.639999991</v>
      </c>
      <c r="K5" s="21">
        <f>SUMIFS('Raw Data'!$P:$P,'Raw Data'!$E:$E,$A5)</f>
        <v>5629876.7599999951</v>
      </c>
      <c r="L5" s="19">
        <f t="shared" si="0"/>
        <v>0.30362355627613724</v>
      </c>
    </row>
    <row r="6" spans="1:12" x14ac:dyDescent="0.3">
      <c r="A6" s="16" t="s">
        <v>31</v>
      </c>
      <c r="B6" s="17">
        <f>SUMIFS('Raw Data'!$G:$G,'Raw Data'!$E:$E,$A6)</f>
        <v>11795</v>
      </c>
      <c r="C6" s="17">
        <f>SUMIFS('Raw Data'!$H:$H,'Raw Data'!$E:$E,$A6)</f>
        <v>1900425</v>
      </c>
      <c r="D6" s="18">
        <f>AVERAGEIFS('Raw Data'!$I:$I,'Raw Data'!$E:$E,$A6)</f>
        <v>539.03696498054433</v>
      </c>
      <c r="E6" s="19">
        <f>AVERAGEIFS('Raw Data'!$J:$J,'Raw Data'!$E:$E,$A6)</f>
        <v>0.71104280155641963</v>
      </c>
      <c r="F6" s="20">
        <f>AVERAGEIFS('Raw Data'!$K:$K,'Raw Data'!$E:$E,$A6)</f>
        <v>82.845914396887153</v>
      </c>
      <c r="G6" s="19">
        <f>AVERAGEIFS('Raw Data'!$L:$L,'Raw Data'!$E:$E,$A6)</f>
        <v>0.90009727626459235</v>
      </c>
      <c r="H6" s="19">
        <f>AVERAGEIFS('Raw Data'!$M:$M,'Raw Data'!$E:$E,$A6)</f>
        <v>2.9684824902723721E-2</v>
      </c>
      <c r="I6" s="21">
        <f>SUMIFS('Raw Data'!$N:$N,'Raw Data'!$E:$E,$A6)</f>
        <v>16750243.760000005</v>
      </c>
      <c r="J6" s="21">
        <f>SUMIFS('Raw Data'!$O:$O,'Raw Data'!$E:$E,$A6)</f>
        <v>11652400.769999987</v>
      </c>
      <c r="K6" s="21">
        <f>SUMIFS('Raw Data'!$P:$P,'Raw Data'!$E:$E,$A6)</f>
        <v>5097842.9899999993</v>
      </c>
      <c r="L6" s="19">
        <f t="shared" si="0"/>
        <v>0.30434440614970476</v>
      </c>
    </row>
    <row r="7" spans="1:12" x14ac:dyDescent="0.3">
      <c r="A7" s="16" t="s">
        <v>32</v>
      </c>
      <c r="B7" s="17">
        <f>SUMIFS('Raw Data'!$G:$G,'Raw Data'!$E:$E,$A7)</f>
        <v>13404</v>
      </c>
      <c r="C7" s="17">
        <f>SUMIFS('Raw Data'!$H:$H,'Raw Data'!$E:$E,$A7)</f>
        <v>2169265</v>
      </c>
      <c r="D7" s="18">
        <f>AVERAGEIFS('Raw Data'!$I:$I,'Raw Data'!$E:$E,$A7)</f>
        <v>562.23285714285703</v>
      </c>
      <c r="E7" s="19">
        <f>AVERAGEIFS('Raw Data'!$J:$J,'Raw Data'!$E:$E,$A7)</f>
        <v>0.70657142857142829</v>
      </c>
      <c r="F7" s="20">
        <f>AVERAGEIFS('Raw Data'!$K:$K,'Raw Data'!$E:$E,$A7)</f>
        <v>82.758214285714274</v>
      </c>
      <c r="G7" s="19">
        <f>AVERAGEIFS('Raw Data'!$L:$L,'Raw Data'!$E:$E,$A7)</f>
        <v>0.898582142857143</v>
      </c>
      <c r="H7" s="19">
        <f>AVERAGEIFS('Raw Data'!$M:$M,'Raw Data'!$E:$E,$A7)</f>
        <v>2.9346428571428534E-2</v>
      </c>
      <c r="I7" s="21">
        <f>SUMIFS('Raw Data'!$N:$N,'Raw Data'!$E:$E,$A7)</f>
        <v>19232890.84999999</v>
      </c>
      <c r="J7" s="21">
        <f>SUMIFS('Raw Data'!$O:$O,'Raw Data'!$E:$E,$A7)</f>
        <v>13476781.599999996</v>
      </c>
      <c r="K7" s="21">
        <f>SUMIFS('Raw Data'!$P:$P,'Raw Data'!$E:$E,$A7)</f>
        <v>5756109.25</v>
      </c>
      <c r="L7" s="19">
        <f t="shared" si="0"/>
        <v>0.29928466265902004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"/>
  <sheetViews>
    <sheetView zoomScaleNormal="100" workbookViewId="0">
      <pane ySplit="1" topLeftCell="A2" activePane="bottomLeft" state="frozen"/>
      <selection pane="bottomLeft" sqref="A1:L6"/>
    </sheetView>
  </sheetViews>
  <sheetFormatPr defaultColWidth="8.6640625" defaultRowHeight="14.4" x14ac:dyDescent="0.3"/>
  <cols>
    <col min="1" max="1" width="16" customWidth="1"/>
    <col min="2" max="2" width="12" customWidth="1"/>
    <col min="3" max="3" width="16" customWidth="1"/>
    <col min="4" max="4" width="12" customWidth="1"/>
    <col min="5" max="5" width="11" customWidth="1"/>
    <col min="6" max="6" width="12" customWidth="1"/>
    <col min="7" max="7" width="13" customWidth="1"/>
    <col min="8" max="8" width="14" customWidth="1"/>
    <col min="9" max="9" width="16" customWidth="1"/>
    <col min="10" max="11" width="14" customWidth="1"/>
    <col min="12" max="12" width="13" customWidth="1"/>
  </cols>
  <sheetData>
    <row r="1" spans="1:12" ht="30" customHeight="1" x14ac:dyDescent="0.3">
      <c r="A1" s="15" t="s">
        <v>14</v>
      </c>
      <c r="B1" s="15" t="s">
        <v>65</v>
      </c>
      <c r="C1" s="15" t="s">
        <v>6</v>
      </c>
      <c r="D1" s="15" t="s">
        <v>66</v>
      </c>
      <c r="E1" s="15" t="s">
        <v>67</v>
      </c>
      <c r="F1" s="15" t="s">
        <v>4</v>
      </c>
      <c r="G1" s="15" t="s">
        <v>68</v>
      </c>
      <c r="H1" s="15" t="s">
        <v>5</v>
      </c>
      <c r="I1" s="15" t="s">
        <v>69</v>
      </c>
      <c r="J1" s="15" t="s">
        <v>70</v>
      </c>
      <c r="K1" s="15" t="s">
        <v>71</v>
      </c>
      <c r="L1" s="15" t="s">
        <v>72</v>
      </c>
    </row>
    <row r="2" spans="1:12" x14ac:dyDescent="0.3">
      <c r="A2" s="16" t="s">
        <v>33</v>
      </c>
      <c r="B2" s="17">
        <f>SUMIFS('Raw Data'!$G:$G,'Raw Data'!$F:$F,$A2)</f>
        <v>15993</v>
      </c>
      <c r="C2" s="17">
        <f>SUMIFS('Raw Data'!$H:$H,'Raw Data'!$F:$F,$A2)</f>
        <v>2554399</v>
      </c>
      <c r="D2" s="18">
        <f>AVERAGEIFS('Raw Data'!$I:$I,'Raw Data'!$F:$F,$A2)</f>
        <v>483.15343283582115</v>
      </c>
      <c r="E2" s="19">
        <f>AVERAGEIFS('Raw Data'!$J:$J,'Raw Data'!$F:$F,$A2)</f>
        <v>0.74063880597014897</v>
      </c>
      <c r="F2" s="20">
        <f>AVERAGEIFS('Raw Data'!$K:$K,'Raw Data'!$F:$F,$A2)</f>
        <v>85.07134328358201</v>
      </c>
      <c r="G2" s="19">
        <f>AVERAGEIFS('Raw Data'!$L:$L,'Raw Data'!$F:$F,$A2)</f>
        <v>0.90193134328358204</v>
      </c>
      <c r="H2" s="19">
        <f>AVERAGEIFS('Raw Data'!$M:$M,'Raw Data'!$F:$F,$A2)</f>
        <v>2.9199999999999969E-2</v>
      </c>
      <c r="I2" s="21">
        <f>SUMIFS('Raw Data'!$N:$N,'Raw Data'!$F:$F,$A2)</f>
        <v>23710083.719999988</v>
      </c>
      <c r="J2" s="21">
        <f>SUMIFS('Raw Data'!$O:$O,'Raw Data'!$F:$F,$A2)</f>
        <v>16602725.499999996</v>
      </c>
      <c r="K2" s="21">
        <f>SUMIFS('Raw Data'!$P:$P,'Raw Data'!$F:$F,$A2)</f>
        <v>7107358.2199999997</v>
      </c>
      <c r="L2" s="19">
        <f>IFERROR(K2/I2,0)</f>
        <v>0.29976099215561958</v>
      </c>
    </row>
    <row r="3" spans="1:12" x14ac:dyDescent="0.3">
      <c r="A3" s="16" t="s">
        <v>36</v>
      </c>
      <c r="B3" s="17">
        <f>SUMIFS('Raw Data'!$G:$G,'Raw Data'!$F:$F,$A3)</f>
        <v>14710</v>
      </c>
      <c r="C3" s="17">
        <f>SUMIFS('Raw Data'!$H:$H,'Raw Data'!$F:$F,$A3)</f>
        <v>2352862</v>
      </c>
      <c r="D3" s="18">
        <f>AVERAGEIFS('Raw Data'!$I:$I,'Raw Data'!$F:$F,$A3)</f>
        <v>897.26006289308179</v>
      </c>
      <c r="E3" s="19">
        <f>AVERAGEIFS('Raw Data'!$J:$J,'Raw Data'!$F:$F,$A3)</f>
        <v>0.69455660377358486</v>
      </c>
      <c r="F3" s="20">
        <f>AVERAGEIFS('Raw Data'!$K:$K,'Raw Data'!$F:$F,$A3)</f>
        <v>83.820754716981156</v>
      </c>
      <c r="G3" s="19">
        <f>AVERAGEIFS('Raw Data'!$L:$L,'Raw Data'!$F:$F,$A3)</f>
        <v>0.90431132075471665</v>
      </c>
      <c r="H3" s="19">
        <f>AVERAGEIFS('Raw Data'!$M:$M,'Raw Data'!$F:$F,$A3)</f>
        <v>3.0050314465408758E-2</v>
      </c>
      <c r="I3" s="21">
        <f>SUMIFS('Raw Data'!$N:$N,'Raw Data'!$F:$F,$A3)</f>
        <v>20705565.66</v>
      </c>
      <c r="J3" s="21">
        <f>SUMIFS('Raw Data'!$O:$O,'Raw Data'!$F:$F,$A3)</f>
        <v>14476042.479999999</v>
      </c>
      <c r="K3" s="21">
        <f>SUMIFS('Raw Data'!$P:$P,'Raw Data'!$F:$F,$A3)</f>
        <v>6229523.1800000016</v>
      </c>
      <c r="L3" s="19">
        <f>IFERROR(K3/I3,0)</f>
        <v>0.30086225521645571</v>
      </c>
    </row>
    <row r="4" spans="1:12" x14ac:dyDescent="0.3">
      <c r="A4" s="16" t="s">
        <v>37</v>
      </c>
      <c r="B4" s="17">
        <f>SUMIFS('Raw Data'!$G:$G,'Raw Data'!$F:$F,$A4)</f>
        <v>14979</v>
      </c>
      <c r="C4" s="17">
        <f>SUMIFS('Raw Data'!$H:$H,'Raw Data'!$F:$F,$A4)</f>
        <v>2381612</v>
      </c>
      <c r="D4" s="18">
        <f>AVERAGEIFS('Raw Data'!$I:$I,'Raw Data'!$F:$F,$A4)</f>
        <v>659.77476635514063</v>
      </c>
      <c r="E4" s="19">
        <f>AVERAGEIFS('Raw Data'!$J:$J,'Raw Data'!$F:$F,$A4)</f>
        <v>0.6748348909657319</v>
      </c>
      <c r="F4" s="20">
        <f>AVERAGEIFS('Raw Data'!$K:$K,'Raw Data'!$F:$F,$A4)</f>
        <v>81.084735202492226</v>
      </c>
      <c r="G4" s="19">
        <f>AVERAGEIFS('Raw Data'!$L:$L,'Raw Data'!$F:$F,$A4)</f>
        <v>0.89783177570093464</v>
      </c>
      <c r="H4" s="19">
        <f>AVERAGEIFS('Raw Data'!$M:$M,'Raw Data'!$F:$F,$A4)</f>
        <v>2.9510903426791246E-2</v>
      </c>
      <c r="I4" s="21">
        <f>SUMIFS('Raw Data'!$N:$N,'Raw Data'!$F:$F,$A4)</f>
        <v>20771397.04000001</v>
      </c>
      <c r="J4" s="21">
        <f>SUMIFS('Raw Data'!$O:$O,'Raw Data'!$F:$F,$A4)</f>
        <v>14446613.999999996</v>
      </c>
      <c r="K4" s="21">
        <f>SUMIFS('Raw Data'!$P:$P,'Raw Data'!$F:$F,$A4)</f>
        <v>6324783.0399999972</v>
      </c>
      <c r="L4" s="19">
        <f>IFERROR(K4/I4,0)</f>
        <v>0.3044948314174632</v>
      </c>
    </row>
    <row r="5" spans="1:12" x14ac:dyDescent="0.3">
      <c r="A5" s="16" t="s">
        <v>28</v>
      </c>
      <c r="B5" s="17">
        <f>SUMIFS('Raw Data'!$G:$G,'Raw Data'!$F:$F,$A5)</f>
        <v>14530</v>
      </c>
      <c r="C5" s="17">
        <f>SUMIFS('Raw Data'!$H:$H,'Raw Data'!$F:$F,$A5)</f>
        <v>2353623</v>
      </c>
      <c r="D5" s="18">
        <f>AVERAGEIFS('Raw Data'!$I:$I,'Raw Data'!$F:$F,$A5)</f>
        <v>419.62776025236593</v>
      </c>
      <c r="E5" s="19">
        <f>AVERAGEIFS('Raw Data'!$J:$J,'Raw Data'!$F:$F,$A5)</f>
        <v>0.78433753943217643</v>
      </c>
      <c r="F5" s="20">
        <f>AVERAGEIFS('Raw Data'!$K:$K,'Raw Data'!$F:$F,$A5)</f>
        <v>83.12744479495268</v>
      </c>
      <c r="G5" s="19">
        <f>AVERAGEIFS('Raw Data'!$L:$L,'Raw Data'!$F:$F,$A5)</f>
        <v>0.89489589905362799</v>
      </c>
      <c r="H5" s="19">
        <f>AVERAGEIFS('Raw Data'!$M:$M,'Raw Data'!$F:$F,$A5)</f>
        <v>3.0227129337539422E-2</v>
      </c>
      <c r="I5" s="21">
        <f>SUMIFS('Raw Data'!$N:$N,'Raw Data'!$F:$F,$A5)</f>
        <v>22628091.490000028</v>
      </c>
      <c r="J5" s="21">
        <f>SUMIFS('Raw Data'!$O:$O,'Raw Data'!$F:$F,$A5)</f>
        <v>15870781.639999997</v>
      </c>
      <c r="K5" s="21">
        <f>SUMIFS('Raw Data'!$P:$P,'Raw Data'!$F:$F,$A5)</f>
        <v>6757309.8499999996</v>
      </c>
      <c r="L5" s="19">
        <f>IFERROR(K5/I5,0)</f>
        <v>0.29862482450127265</v>
      </c>
    </row>
    <row r="6" spans="1:12" x14ac:dyDescent="0.3">
      <c r="A6" s="16" t="s">
        <v>29</v>
      </c>
      <c r="B6" s="17">
        <f>SUMIFS('Raw Data'!$G:$G,'Raw Data'!$F:$F,$A6)</f>
        <v>14721</v>
      </c>
      <c r="C6" s="17">
        <f>SUMIFS('Raw Data'!$H:$H,'Raw Data'!$F:$F,$A6)</f>
        <v>2343477</v>
      </c>
      <c r="D6" s="18">
        <f>AVERAGEIFS('Raw Data'!$I:$I,'Raw Data'!$F:$F,$A6)</f>
        <v>300.25705329153607</v>
      </c>
      <c r="E6" s="19">
        <f>AVERAGEIFS('Raw Data'!$J:$J,'Raw Data'!$F:$F,$A6)</f>
        <v>0.64892789968652054</v>
      </c>
      <c r="F6" s="20">
        <f>AVERAGEIFS('Raw Data'!$K:$K,'Raw Data'!$F:$F,$A6)</f>
        <v>80.106896551724176</v>
      </c>
      <c r="G6" s="19">
        <f>AVERAGEIFS('Raw Data'!$L:$L,'Raw Data'!$F:$F,$A6)</f>
        <v>0.9026489028213166</v>
      </c>
      <c r="H6" s="19">
        <f>AVERAGEIFS('Raw Data'!$M:$M,'Raw Data'!$F:$F,$A6)</f>
        <v>2.9426332288401223E-2</v>
      </c>
      <c r="I6" s="21">
        <f>SUMIFS('Raw Data'!$N:$N,'Raw Data'!$F:$F,$A6)</f>
        <v>19381977.809999995</v>
      </c>
      <c r="J6" s="21">
        <f>SUMIFS('Raw Data'!$O:$O,'Raw Data'!$F:$F,$A6)</f>
        <v>13536886.429999998</v>
      </c>
      <c r="K6" s="21">
        <f>SUMIFS('Raw Data'!$P:$P,'Raw Data'!$F:$F,$A6)</f>
        <v>5845091.3799999962</v>
      </c>
      <c r="L6" s="19">
        <f>IFERROR(K6/I6,0)</f>
        <v>0.30157352553485345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5"/>
  <sheetViews>
    <sheetView zoomScaleNormal="100" workbookViewId="0">
      <pane ySplit="1" topLeftCell="A2" activePane="bottomLeft" state="frozen"/>
      <selection pane="bottomLeft" sqref="A1:L25"/>
    </sheetView>
  </sheetViews>
  <sheetFormatPr defaultColWidth="8.6640625" defaultRowHeight="14.4" x14ac:dyDescent="0.3"/>
  <cols>
    <col min="1" max="1" width="16" customWidth="1"/>
    <col min="2" max="2" width="12" customWidth="1"/>
    <col min="3" max="3" width="16" customWidth="1"/>
    <col min="4" max="4" width="12" customWidth="1"/>
    <col min="5" max="5" width="11" customWidth="1"/>
    <col min="6" max="6" width="12" customWidth="1"/>
    <col min="7" max="7" width="13" customWidth="1"/>
    <col min="8" max="8" width="14" customWidth="1"/>
    <col min="9" max="9" width="16" customWidth="1"/>
    <col min="10" max="11" width="14" customWidth="1"/>
    <col min="12" max="12" width="13" customWidth="1"/>
  </cols>
  <sheetData>
    <row r="1" spans="1:12" ht="30" customHeight="1" x14ac:dyDescent="0.3">
      <c r="A1" s="15" t="s">
        <v>10</v>
      </c>
      <c r="B1" s="15" t="s">
        <v>65</v>
      </c>
      <c r="C1" s="15" t="s">
        <v>6</v>
      </c>
      <c r="D1" s="15" t="s">
        <v>66</v>
      </c>
      <c r="E1" s="15" t="s">
        <v>67</v>
      </c>
      <c r="F1" s="15" t="s">
        <v>4</v>
      </c>
      <c r="G1" s="15" t="s">
        <v>68</v>
      </c>
      <c r="H1" s="15" t="s">
        <v>5</v>
      </c>
      <c r="I1" s="15" t="s">
        <v>69</v>
      </c>
      <c r="J1" s="15" t="s">
        <v>70</v>
      </c>
      <c r="K1" s="15" t="s">
        <v>71</v>
      </c>
      <c r="L1" s="15" t="s">
        <v>72</v>
      </c>
    </row>
    <row r="2" spans="1:12" x14ac:dyDescent="0.3">
      <c r="A2" s="16" t="s">
        <v>25</v>
      </c>
      <c r="B2" s="17">
        <f>SUMIFS('Raw Data'!$G:$G,'Raw Data'!$B:$B,$A2)</f>
        <v>2463</v>
      </c>
      <c r="C2" s="17">
        <f>SUMIFS('Raw Data'!$H:$H,'Raw Data'!$B:$B,$A2)</f>
        <v>424601</v>
      </c>
      <c r="D2" s="18">
        <f>AVERAGEIFS('Raw Data'!$I:$I,'Raw Data'!$B:$B,$A2)</f>
        <v>555.38135593220352</v>
      </c>
      <c r="E2" s="19">
        <f>AVERAGEIFS('Raw Data'!$J:$J,'Raw Data'!$B:$B,$A2)</f>
        <v>0.7295084745762711</v>
      </c>
      <c r="F2" s="20">
        <f>AVERAGEIFS('Raw Data'!$K:$K,'Raw Data'!$B:$B,$A2)</f>
        <v>83.315254237288158</v>
      </c>
      <c r="G2" s="19">
        <f>AVERAGEIFS('Raw Data'!$L:$L,'Raw Data'!$B:$B,$A2)</f>
        <v>0.89683050847457646</v>
      </c>
      <c r="H2" s="19">
        <f>AVERAGEIFS('Raw Data'!$M:$M,'Raw Data'!$B:$B,$A2)</f>
        <v>3.7864406779661013E-2</v>
      </c>
      <c r="I2" s="21">
        <f>SUMIFS('Raw Data'!$N:$N,'Raw Data'!$B:$B,$A2)</f>
        <v>3701869.9299999997</v>
      </c>
      <c r="J2" s="21">
        <f>SUMIFS('Raw Data'!$O:$O,'Raw Data'!$B:$B,$A2)</f>
        <v>2571850.5700000003</v>
      </c>
      <c r="K2" s="21">
        <f>SUMIFS('Raw Data'!$P:$P,'Raw Data'!$B:$B,$A2)</f>
        <v>1130019.3600000001</v>
      </c>
      <c r="L2" s="19">
        <f t="shared" ref="L2:L25" si="0">IFERROR(K2/I2,0)</f>
        <v>0.30525636539585282</v>
      </c>
    </row>
    <row r="3" spans="1:12" x14ac:dyDescent="0.3">
      <c r="A3" s="16" t="s">
        <v>42</v>
      </c>
      <c r="B3" s="17">
        <f>SUMIFS('Raw Data'!$G:$G,'Raw Data'!$B:$B,$A3)</f>
        <v>2821</v>
      </c>
      <c r="C3" s="17">
        <f>SUMIFS('Raw Data'!$H:$H,'Raw Data'!$B:$B,$A3)</f>
        <v>493670</v>
      </c>
      <c r="D3" s="18">
        <f>AVERAGEIFS('Raw Data'!$I:$I,'Raw Data'!$B:$B,$A3)</f>
        <v>565.06615384615395</v>
      </c>
      <c r="E3" s="19">
        <f>AVERAGEIFS('Raw Data'!$J:$J,'Raw Data'!$B:$B,$A3)</f>
        <v>0.70340000000000003</v>
      </c>
      <c r="F3" s="20">
        <f>AVERAGEIFS('Raw Data'!$K:$K,'Raw Data'!$B:$B,$A3)</f>
        <v>82.616923076923072</v>
      </c>
      <c r="G3" s="19">
        <f>AVERAGEIFS('Raw Data'!$L:$L,'Raw Data'!$B:$B,$A3)</f>
        <v>0.91315384615384643</v>
      </c>
      <c r="H3" s="19">
        <f>AVERAGEIFS('Raw Data'!$M:$M,'Raw Data'!$B:$B,$A3)</f>
        <v>2.6369230769230759E-2</v>
      </c>
      <c r="I3" s="21">
        <f>SUMIFS('Raw Data'!$N:$N,'Raw Data'!$B:$B,$A3)</f>
        <v>4017199.7500000009</v>
      </c>
      <c r="J3" s="21">
        <f>SUMIFS('Raw Data'!$O:$O,'Raw Data'!$B:$B,$A3)</f>
        <v>2815661.2100000004</v>
      </c>
      <c r="K3" s="21">
        <f>SUMIFS('Raw Data'!$P:$P,'Raw Data'!$B:$B,$A3)</f>
        <v>1201538.5399999998</v>
      </c>
      <c r="L3" s="19">
        <f t="shared" si="0"/>
        <v>0.29909853001459524</v>
      </c>
    </row>
    <row r="4" spans="1:12" x14ac:dyDescent="0.3">
      <c r="A4" s="16" t="s">
        <v>43</v>
      </c>
      <c r="B4" s="17">
        <f>SUMIFS('Raw Data'!$G:$G,'Raw Data'!$B:$B,$A4)</f>
        <v>2609</v>
      </c>
      <c r="C4" s="17">
        <f>SUMIFS('Raw Data'!$H:$H,'Raw Data'!$B:$B,$A4)</f>
        <v>486950</v>
      </c>
      <c r="D4" s="18">
        <f>AVERAGEIFS('Raw Data'!$I:$I,'Raw Data'!$B:$B,$A4)</f>
        <v>584.14603174603155</v>
      </c>
      <c r="E4" s="19">
        <f>AVERAGEIFS('Raw Data'!$J:$J,'Raw Data'!$B:$B,$A4)</f>
        <v>0.72092063492063485</v>
      </c>
      <c r="F4" s="20">
        <f>AVERAGEIFS('Raw Data'!$K:$K,'Raw Data'!$B:$B,$A4)</f>
        <v>83.373015873015859</v>
      </c>
      <c r="G4" s="19">
        <f>AVERAGEIFS('Raw Data'!$L:$L,'Raw Data'!$B:$B,$A4)</f>
        <v>0.89652380952380917</v>
      </c>
      <c r="H4" s="19">
        <f>AVERAGEIFS('Raw Data'!$M:$M,'Raw Data'!$B:$B,$A4)</f>
        <v>2.8317460317460314E-2</v>
      </c>
      <c r="I4" s="21">
        <f>SUMIFS('Raw Data'!$N:$N,'Raw Data'!$B:$B,$A4)</f>
        <v>3863400.1900000009</v>
      </c>
      <c r="J4" s="21">
        <f>SUMIFS('Raw Data'!$O:$O,'Raw Data'!$B:$B,$A4)</f>
        <v>2720878.33</v>
      </c>
      <c r="K4" s="21">
        <f>SUMIFS('Raw Data'!$P:$P,'Raw Data'!$B:$B,$A4)</f>
        <v>1142521.8600000001</v>
      </c>
      <c r="L4" s="19">
        <f t="shared" si="0"/>
        <v>0.29572961738659537</v>
      </c>
    </row>
    <row r="5" spans="1:12" x14ac:dyDescent="0.3">
      <c r="A5" s="16" t="s">
        <v>44</v>
      </c>
      <c r="B5" s="17">
        <f>SUMIFS('Raw Data'!$G:$G,'Raw Data'!$B:$B,$A5)</f>
        <v>3062</v>
      </c>
      <c r="C5" s="17">
        <f>SUMIFS('Raw Data'!$H:$H,'Raw Data'!$B:$B,$A5)</f>
        <v>571049</v>
      </c>
      <c r="D5" s="18">
        <f>AVERAGEIFS('Raw Data'!$I:$I,'Raw Data'!$B:$B,$A5)</f>
        <v>524.10588235294119</v>
      </c>
      <c r="E5" s="19">
        <f>AVERAGEIFS('Raw Data'!$J:$J,'Raw Data'!$B:$B,$A5)</f>
        <v>0.71939705882352944</v>
      </c>
      <c r="F5" s="20">
        <f>AVERAGEIFS('Raw Data'!$K:$K,'Raw Data'!$B:$B,$A5)</f>
        <v>82.179411764705904</v>
      </c>
      <c r="G5" s="19">
        <f>AVERAGEIFS('Raw Data'!$L:$L,'Raw Data'!$B:$B,$A5)</f>
        <v>0.90248529411764711</v>
      </c>
      <c r="H5" s="19">
        <f>AVERAGEIFS('Raw Data'!$M:$M,'Raw Data'!$B:$B,$A5)</f>
        <v>2.636764705882352E-2</v>
      </c>
      <c r="I5" s="21">
        <f>SUMIFS('Raw Data'!$N:$N,'Raw Data'!$B:$B,$A5)</f>
        <v>4381258.9400000013</v>
      </c>
      <c r="J5" s="21">
        <f>SUMIFS('Raw Data'!$O:$O,'Raw Data'!$B:$B,$A5)</f>
        <v>3071071.98</v>
      </c>
      <c r="K5" s="21">
        <f>SUMIFS('Raw Data'!$P:$P,'Raw Data'!$B:$B,$A5)</f>
        <v>1310186.9600000004</v>
      </c>
      <c r="L5" s="19">
        <f t="shared" si="0"/>
        <v>0.29904348908444112</v>
      </c>
    </row>
    <row r="6" spans="1:12" x14ac:dyDescent="0.3">
      <c r="A6" s="16" t="s">
        <v>45</v>
      </c>
      <c r="B6" s="17">
        <f>SUMIFS('Raw Data'!$G:$G,'Raw Data'!$B:$B,$A6)</f>
        <v>3093</v>
      </c>
      <c r="C6" s="17">
        <f>SUMIFS('Raw Data'!$H:$H,'Raw Data'!$B:$B,$A6)</f>
        <v>532847</v>
      </c>
      <c r="D6" s="18">
        <f>AVERAGEIFS('Raw Data'!$I:$I,'Raw Data'!$B:$B,$A6)</f>
        <v>532.92500000000007</v>
      </c>
      <c r="E6" s="19">
        <f>AVERAGEIFS('Raw Data'!$J:$J,'Raw Data'!$B:$B,$A6)</f>
        <v>0.71188235294117663</v>
      </c>
      <c r="F6" s="20">
        <f>AVERAGEIFS('Raw Data'!$K:$K,'Raw Data'!$B:$B,$A6)</f>
        <v>83.050000000000026</v>
      </c>
      <c r="G6" s="19">
        <f>AVERAGEIFS('Raw Data'!$L:$L,'Raw Data'!$B:$B,$A6)</f>
        <v>0.89560294117647066</v>
      </c>
      <c r="H6" s="19">
        <f>AVERAGEIFS('Raw Data'!$M:$M,'Raw Data'!$B:$B,$A6)</f>
        <v>2.7132352941176472E-2</v>
      </c>
      <c r="I6" s="21">
        <f>SUMIFS('Raw Data'!$N:$N,'Raw Data'!$B:$B,$A6)</f>
        <v>4363296.0000000009</v>
      </c>
      <c r="J6" s="21">
        <f>SUMIFS('Raw Data'!$O:$O,'Raw Data'!$B:$B,$A6)</f>
        <v>3025280.4299999988</v>
      </c>
      <c r="K6" s="21">
        <f>SUMIFS('Raw Data'!$P:$P,'Raw Data'!$B:$B,$A6)</f>
        <v>1338015.57</v>
      </c>
      <c r="L6" s="19">
        <f t="shared" si="0"/>
        <v>0.30665248701898745</v>
      </c>
    </row>
    <row r="7" spans="1:12" x14ac:dyDescent="0.3">
      <c r="A7" s="16" t="s">
        <v>46</v>
      </c>
      <c r="B7" s="17">
        <f>SUMIFS('Raw Data'!$G:$G,'Raw Data'!$B:$B,$A7)</f>
        <v>2652</v>
      </c>
      <c r="C7" s="17">
        <f>SUMIFS('Raw Data'!$H:$H,'Raw Data'!$B:$B,$A7)</f>
        <v>426457</v>
      </c>
      <c r="D7" s="18">
        <f>AVERAGEIFS('Raw Data'!$I:$I,'Raw Data'!$B:$B,$A7)</f>
        <v>564.22741935483873</v>
      </c>
      <c r="E7" s="19">
        <f>AVERAGEIFS('Raw Data'!$J:$J,'Raw Data'!$B:$B,$A7)</f>
        <v>0.70667741935483885</v>
      </c>
      <c r="F7" s="20">
        <f>AVERAGEIFS('Raw Data'!$K:$K,'Raw Data'!$B:$B,$A7)</f>
        <v>82.788709677419376</v>
      </c>
      <c r="G7" s="19">
        <f>AVERAGEIFS('Raw Data'!$L:$L,'Raw Data'!$B:$B,$A7)</f>
        <v>0.89616129032258074</v>
      </c>
      <c r="H7" s="19">
        <f>AVERAGEIFS('Raw Data'!$M:$M,'Raw Data'!$B:$B,$A7)</f>
        <v>2.7419354838709678E-2</v>
      </c>
      <c r="I7" s="21">
        <f>SUMIFS('Raw Data'!$N:$N,'Raw Data'!$B:$B,$A7)</f>
        <v>3924802.2199999997</v>
      </c>
      <c r="J7" s="21">
        <f>SUMIFS('Raw Data'!$O:$O,'Raw Data'!$B:$B,$A7)</f>
        <v>2776654.5800000005</v>
      </c>
      <c r="K7" s="21">
        <f>SUMIFS('Raw Data'!$P:$P,'Raw Data'!$B:$B,$A7)</f>
        <v>1148147.6399999999</v>
      </c>
      <c r="L7" s="19">
        <f t="shared" si="0"/>
        <v>0.29253643257468398</v>
      </c>
    </row>
    <row r="8" spans="1:12" x14ac:dyDescent="0.3">
      <c r="A8" s="16" t="s">
        <v>47</v>
      </c>
      <c r="B8" s="17">
        <f>SUMIFS('Raw Data'!$G:$G,'Raw Data'!$B:$B,$A8)</f>
        <v>3118</v>
      </c>
      <c r="C8" s="17">
        <f>SUMIFS('Raw Data'!$H:$H,'Raw Data'!$B:$B,$A8)</f>
        <v>458245</v>
      </c>
      <c r="D8" s="18">
        <f>AVERAGEIFS('Raw Data'!$I:$I,'Raw Data'!$B:$B,$A8)</f>
        <v>537.63857142857171</v>
      </c>
      <c r="E8" s="19">
        <f>AVERAGEIFS('Raw Data'!$J:$J,'Raw Data'!$B:$B,$A8)</f>
        <v>0.71108571428571421</v>
      </c>
      <c r="F8" s="20">
        <f>AVERAGEIFS('Raw Data'!$K:$K,'Raw Data'!$B:$B,$A8)</f>
        <v>83.071428571428569</v>
      </c>
      <c r="G8" s="19">
        <f>AVERAGEIFS('Raw Data'!$L:$L,'Raw Data'!$B:$B,$A8)</f>
        <v>0.89830000000000021</v>
      </c>
      <c r="H8" s="19">
        <f>AVERAGEIFS('Raw Data'!$M:$M,'Raw Data'!$B:$B,$A8)</f>
        <v>2.4528571428571417E-2</v>
      </c>
      <c r="I8" s="21">
        <f>SUMIFS('Raw Data'!$N:$N,'Raw Data'!$B:$B,$A8)</f>
        <v>4512027.5199999996</v>
      </c>
      <c r="J8" s="21">
        <f>SUMIFS('Raw Data'!$O:$O,'Raw Data'!$B:$B,$A8)</f>
        <v>3162558.3299999991</v>
      </c>
      <c r="K8" s="21">
        <f>SUMIFS('Raw Data'!$P:$P,'Raw Data'!$B:$B,$A8)</f>
        <v>1349469.1900000004</v>
      </c>
      <c r="L8" s="19">
        <f t="shared" si="0"/>
        <v>0.29908265940718387</v>
      </c>
    </row>
    <row r="9" spans="1:12" x14ac:dyDescent="0.3">
      <c r="A9" s="16" t="s">
        <v>48</v>
      </c>
      <c r="B9" s="17">
        <f>SUMIFS('Raw Data'!$G:$G,'Raw Data'!$B:$B,$A9)</f>
        <v>3074</v>
      </c>
      <c r="C9" s="17">
        <f>SUMIFS('Raw Data'!$H:$H,'Raw Data'!$B:$B,$A9)</f>
        <v>432894</v>
      </c>
      <c r="D9" s="18">
        <f>AVERAGEIFS('Raw Data'!$I:$I,'Raw Data'!$B:$B,$A9)</f>
        <v>562.43055555555543</v>
      </c>
      <c r="E9" s="19">
        <f>AVERAGEIFS('Raw Data'!$J:$J,'Raw Data'!$B:$B,$A9)</f>
        <v>0.70102777777777781</v>
      </c>
      <c r="F9" s="20">
        <f>AVERAGEIFS('Raw Data'!$K:$K,'Raw Data'!$B:$B,$A9)</f>
        <v>82.680555555555557</v>
      </c>
      <c r="G9" s="19">
        <f>AVERAGEIFS('Raw Data'!$L:$L,'Raw Data'!$B:$B,$A9)</f>
        <v>0.89659722222222227</v>
      </c>
      <c r="H9" s="19">
        <f>AVERAGEIFS('Raw Data'!$M:$M,'Raw Data'!$B:$B,$A9)</f>
        <v>2.7583333333333317E-2</v>
      </c>
      <c r="I9" s="21">
        <f>SUMIFS('Raw Data'!$N:$N,'Raw Data'!$B:$B,$A9)</f>
        <v>4241460.42</v>
      </c>
      <c r="J9" s="21">
        <f>SUMIFS('Raw Data'!$O:$O,'Raw Data'!$B:$B,$A9)</f>
        <v>2928444.73</v>
      </c>
      <c r="K9" s="21">
        <f>SUMIFS('Raw Data'!$P:$P,'Raw Data'!$B:$B,$A9)</f>
        <v>1313015.6900000006</v>
      </c>
      <c r="L9" s="19">
        <f t="shared" si="0"/>
        <v>0.3095668849834512</v>
      </c>
    </row>
    <row r="10" spans="1:12" x14ac:dyDescent="0.3">
      <c r="A10" s="16" t="s">
        <v>49</v>
      </c>
      <c r="B10" s="17">
        <f>SUMIFS('Raw Data'!$G:$G,'Raw Data'!$B:$B,$A10)</f>
        <v>2817</v>
      </c>
      <c r="C10" s="17">
        <f>SUMIFS('Raw Data'!$H:$H,'Raw Data'!$B:$B,$A10)</f>
        <v>386704</v>
      </c>
      <c r="D10" s="18">
        <f>AVERAGEIFS('Raw Data'!$I:$I,'Raw Data'!$B:$B,$A10)</f>
        <v>564.72153846153833</v>
      </c>
      <c r="E10" s="19">
        <f>AVERAGEIFS('Raw Data'!$J:$J,'Raw Data'!$B:$B,$A10)</f>
        <v>0.69753846153846155</v>
      </c>
      <c r="F10" s="20">
        <f>AVERAGEIFS('Raw Data'!$K:$K,'Raw Data'!$B:$B,$A10)</f>
        <v>82.336923076923057</v>
      </c>
      <c r="G10" s="19">
        <f>AVERAGEIFS('Raw Data'!$L:$L,'Raw Data'!$B:$B,$A10)</f>
        <v>0.90998461538461539</v>
      </c>
      <c r="H10" s="19">
        <f>AVERAGEIFS('Raw Data'!$M:$M,'Raw Data'!$B:$B,$A10)</f>
        <v>2.7323076923076922E-2</v>
      </c>
      <c r="I10" s="21">
        <f>SUMIFS('Raw Data'!$N:$N,'Raw Data'!$B:$B,$A10)</f>
        <v>3946224.3600000003</v>
      </c>
      <c r="J10" s="21">
        <f>SUMIFS('Raw Data'!$O:$O,'Raw Data'!$B:$B,$A10)</f>
        <v>2733476.0700000008</v>
      </c>
      <c r="K10" s="21">
        <f>SUMIFS('Raw Data'!$P:$P,'Raw Data'!$B:$B,$A10)</f>
        <v>1212748.2900000003</v>
      </c>
      <c r="L10" s="19">
        <f t="shared" si="0"/>
        <v>0.30731863659166103</v>
      </c>
    </row>
    <row r="11" spans="1:12" x14ac:dyDescent="0.3">
      <c r="A11" s="16" t="s">
        <v>50</v>
      </c>
      <c r="B11" s="17">
        <f>SUMIFS('Raw Data'!$G:$G,'Raw Data'!$B:$B,$A11)</f>
        <v>2528</v>
      </c>
      <c r="C11" s="17">
        <f>SUMIFS('Raw Data'!$H:$H,'Raw Data'!$B:$B,$A11)</f>
        <v>345962</v>
      </c>
      <c r="D11" s="18">
        <f>AVERAGEIFS('Raw Data'!$I:$I,'Raw Data'!$B:$B,$A11)</f>
        <v>550.35573770491817</v>
      </c>
      <c r="E11" s="19">
        <f>AVERAGEIFS('Raw Data'!$J:$J,'Raw Data'!$B:$B,$A11)</f>
        <v>0.70672131147540973</v>
      </c>
      <c r="F11" s="20">
        <f>AVERAGEIFS('Raw Data'!$K:$K,'Raw Data'!$B:$B,$A11)</f>
        <v>81.868852459016395</v>
      </c>
      <c r="G11" s="19">
        <f>AVERAGEIFS('Raw Data'!$L:$L,'Raw Data'!$B:$B,$A11)</f>
        <v>0.88306557377049166</v>
      </c>
      <c r="H11" s="19">
        <f>AVERAGEIFS('Raw Data'!$M:$M,'Raw Data'!$B:$B,$A11)</f>
        <v>2.8344262295081964E-2</v>
      </c>
      <c r="I11" s="21">
        <f>SUMIFS('Raw Data'!$N:$N,'Raw Data'!$B:$B,$A11)</f>
        <v>3574966.2200000007</v>
      </c>
      <c r="J11" s="21">
        <f>SUMIFS('Raw Data'!$O:$O,'Raw Data'!$B:$B,$A11)</f>
        <v>2487181.48</v>
      </c>
      <c r="K11" s="21">
        <f>SUMIFS('Raw Data'!$P:$P,'Raw Data'!$B:$B,$A11)</f>
        <v>1087784.7400000002</v>
      </c>
      <c r="L11" s="19">
        <f t="shared" si="0"/>
        <v>0.30427832685926748</v>
      </c>
    </row>
    <row r="12" spans="1:12" x14ac:dyDescent="0.3">
      <c r="A12" s="16" t="s">
        <v>51</v>
      </c>
      <c r="B12" s="17">
        <f>SUMIFS('Raw Data'!$G:$G,'Raw Data'!$B:$B,$A12)</f>
        <v>2863</v>
      </c>
      <c r="C12" s="17">
        <f>SUMIFS('Raw Data'!$H:$H,'Raw Data'!$B:$B,$A12)</f>
        <v>426086</v>
      </c>
      <c r="D12" s="18">
        <f>AVERAGEIFS('Raw Data'!$I:$I,'Raw Data'!$B:$B,$A12)</f>
        <v>577.7893939393939</v>
      </c>
      <c r="E12" s="19">
        <f>AVERAGEIFS('Raw Data'!$J:$J,'Raw Data'!$B:$B,$A12)</f>
        <v>0.7156212121212121</v>
      </c>
      <c r="F12" s="20">
        <f>AVERAGEIFS('Raw Data'!$K:$K,'Raw Data'!$B:$B,$A12)</f>
        <v>82.066666666666677</v>
      </c>
      <c r="G12" s="19">
        <f>AVERAGEIFS('Raw Data'!$L:$L,'Raw Data'!$B:$B,$A12)</f>
        <v>0.9089242424242423</v>
      </c>
      <c r="H12" s="19">
        <f>AVERAGEIFS('Raw Data'!$M:$M,'Raw Data'!$B:$B,$A12)</f>
        <v>3.6984848484848488E-2</v>
      </c>
      <c r="I12" s="21">
        <f>SUMIFS('Raw Data'!$N:$N,'Raw Data'!$B:$B,$A12)</f>
        <v>4165697.8699999987</v>
      </c>
      <c r="J12" s="21">
        <f>SUMIFS('Raw Data'!$O:$O,'Raw Data'!$B:$B,$A12)</f>
        <v>2922321.3399999985</v>
      </c>
      <c r="K12" s="21">
        <f>SUMIFS('Raw Data'!$P:$P,'Raw Data'!$B:$B,$A12)</f>
        <v>1243376.5300000003</v>
      </c>
      <c r="L12" s="19">
        <f t="shared" si="0"/>
        <v>0.29847976708882168</v>
      </c>
    </row>
    <row r="13" spans="1:12" x14ac:dyDescent="0.3">
      <c r="A13" s="16" t="s">
        <v>52</v>
      </c>
      <c r="B13" s="17">
        <f>SUMIFS('Raw Data'!$G:$G,'Raw Data'!$B:$B,$A13)</f>
        <v>2837</v>
      </c>
      <c r="C13" s="17">
        <f>SUMIFS('Raw Data'!$H:$H,'Raw Data'!$B:$B,$A13)</f>
        <v>452805</v>
      </c>
      <c r="D13" s="18">
        <f>AVERAGEIFS('Raw Data'!$I:$I,'Raw Data'!$B:$B,$A13)</f>
        <v>528.65245901639332</v>
      </c>
      <c r="E13" s="19">
        <f>AVERAGEIFS('Raw Data'!$J:$J,'Raw Data'!$B:$B,$A13)</f>
        <v>0.71590163934426232</v>
      </c>
      <c r="F13" s="20">
        <f>AVERAGEIFS('Raw Data'!$K:$K,'Raw Data'!$B:$B,$A13)</f>
        <v>82.980327868852498</v>
      </c>
      <c r="G13" s="19">
        <f>AVERAGEIFS('Raw Data'!$L:$L,'Raw Data'!$B:$B,$A13)</f>
        <v>0.89940983606557356</v>
      </c>
      <c r="H13" s="19">
        <f>AVERAGEIFS('Raw Data'!$M:$M,'Raw Data'!$B:$B,$A13)</f>
        <v>3.4950819672131143E-2</v>
      </c>
      <c r="I13" s="21">
        <f>SUMIFS('Raw Data'!$N:$N,'Raw Data'!$B:$B,$A13)</f>
        <v>4137417.1900000004</v>
      </c>
      <c r="J13" s="21">
        <f>SUMIFS('Raw Data'!$O:$O,'Raw Data'!$B:$B,$A13)</f>
        <v>2874644.919999999</v>
      </c>
      <c r="K13" s="21">
        <f>SUMIFS('Raw Data'!$P:$P,'Raw Data'!$B:$B,$A13)</f>
        <v>1262772.2699999998</v>
      </c>
      <c r="L13" s="19">
        <f t="shared" si="0"/>
        <v>0.30520786568298658</v>
      </c>
    </row>
    <row r="14" spans="1:12" x14ac:dyDescent="0.3">
      <c r="A14" s="16" t="s">
        <v>53</v>
      </c>
      <c r="B14" s="17">
        <f>SUMIFS('Raw Data'!$G:$G,'Raw Data'!$B:$B,$A14)</f>
        <v>3911</v>
      </c>
      <c r="C14" s="17">
        <f>SUMIFS('Raw Data'!$H:$H,'Raw Data'!$B:$B,$A14)</f>
        <v>692653</v>
      </c>
      <c r="D14" s="18">
        <f>AVERAGEIFS('Raw Data'!$I:$I,'Raw Data'!$B:$B,$A14)</f>
        <v>544.33766233766244</v>
      </c>
      <c r="E14" s="19">
        <f>AVERAGEIFS('Raw Data'!$J:$J,'Raw Data'!$B:$B,$A14)</f>
        <v>0.69810389610389612</v>
      </c>
      <c r="F14" s="20">
        <f>AVERAGEIFS('Raw Data'!$K:$K,'Raw Data'!$B:$B,$A14)</f>
        <v>82.668831168831161</v>
      </c>
      <c r="G14" s="19">
        <f>AVERAGEIFS('Raw Data'!$L:$L,'Raw Data'!$B:$B,$A14)</f>
        <v>0.89353246753246729</v>
      </c>
      <c r="H14" s="19">
        <f>AVERAGEIFS('Raw Data'!$M:$M,'Raw Data'!$B:$B,$A14)</f>
        <v>3.6545454545454534E-2</v>
      </c>
      <c r="I14" s="21">
        <f>SUMIFS('Raw Data'!$N:$N,'Raw Data'!$B:$B,$A14)</f>
        <v>5651579.4200000018</v>
      </c>
      <c r="J14" s="21">
        <f>SUMIFS('Raw Data'!$O:$O,'Raw Data'!$B:$B,$A14)</f>
        <v>3958248.8</v>
      </c>
      <c r="K14" s="21">
        <f>SUMIFS('Raw Data'!$P:$P,'Raw Data'!$B:$B,$A14)</f>
        <v>1693330.6199999996</v>
      </c>
      <c r="L14" s="19">
        <f t="shared" si="0"/>
        <v>0.29962077751355376</v>
      </c>
    </row>
    <row r="15" spans="1:12" x14ac:dyDescent="0.3">
      <c r="A15" s="16" t="s">
        <v>54</v>
      </c>
      <c r="B15" s="17">
        <f>SUMIFS('Raw Data'!$G:$G,'Raw Data'!$B:$B,$A15)</f>
        <v>3750</v>
      </c>
      <c r="C15" s="17">
        <f>SUMIFS('Raw Data'!$H:$H,'Raw Data'!$B:$B,$A15)</f>
        <v>661988</v>
      </c>
      <c r="D15" s="18">
        <f>AVERAGEIFS('Raw Data'!$I:$I,'Raw Data'!$B:$B,$A15)</f>
        <v>523.27594936708851</v>
      </c>
      <c r="E15" s="19">
        <f>AVERAGEIFS('Raw Data'!$J:$J,'Raw Data'!$B:$B,$A15)</f>
        <v>0.69993670886075954</v>
      </c>
      <c r="F15" s="20">
        <f>AVERAGEIFS('Raw Data'!$K:$K,'Raw Data'!$B:$B,$A15)</f>
        <v>82.651898734177209</v>
      </c>
      <c r="G15" s="19">
        <f>AVERAGEIFS('Raw Data'!$L:$L,'Raw Data'!$B:$B,$A15)</f>
        <v>0.89820253164556962</v>
      </c>
      <c r="H15" s="19">
        <f>AVERAGEIFS('Raw Data'!$M:$M,'Raw Data'!$B:$B,$A15)</f>
        <v>2.8721518987341751E-2</v>
      </c>
      <c r="I15" s="21">
        <f>SUMIFS('Raw Data'!$N:$N,'Raw Data'!$B:$B,$A15)</f>
        <v>5254198.5599999977</v>
      </c>
      <c r="J15" s="21">
        <f>SUMIFS('Raw Data'!$O:$O,'Raw Data'!$B:$B,$A15)</f>
        <v>3717167.9499999993</v>
      </c>
      <c r="K15" s="21">
        <f>SUMIFS('Raw Data'!$P:$P,'Raw Data'!$B:$B,$A15)</f>
        <v>1537030.61</v>
      </c>
      <c r="L15" s="19">
        <f t="shared" si="0"/>
        <v>0.29253378844517836</v>
      </c>
    </row>
    <row r="16" spans="1:12" x14ac:dyDescent="0.3">
      <c r="A16" s="16" t="s">
        <v>55</v>
      </c>
      <c r="B16" s="17">
        <f>SUMIFS('Raw Data'!$G:$G,'Raw Data'!$B:$B,$A16)</f>
        <v>2903</v>
      </c>
      <c r="C16" s="17">
        <f>SUMIFS('Raw Data'!$H:$H,'Raw Data'!$B:$B,$A16)</f>
        <v>529915</v>
      </c>
      <c r="D16" s="18">
        <f>AVERAGEIFS('Raw Data'!$I:$I,'Raw Data'!$B:$B,$A16)</f>
        <v>530.40491803278678</v>
      </c>
      <c r="E16" s="19">
        <f>AVERAGEIFS('Raw Data'!$J:$J,'Raw Data'!$B:$B,$A16)</f>
        <v>0.72226229508196726</v>
      </c>
      <c r="F16" s="20">
        <f>AVERAGEIFS('Raw Data'!$K:$K,'Raw Data'!$B:$B,$A16)</f>
        <v>82.439344262295123</v>
      </c>
      <c r="G16" s="19">
        <f>AVERAGEIFS('Raw Data'!$L:$L,'Raw Data'!$B:$B,$A16)</f>
        <v>0.90521311475409838</v>
      </c>
      <c r="H16" s="19">
        <f>AVERAGEIFS('Raw Data'!$M:$M,'Raw Data'!$B:$B,$A16)</f>
        <v>2.6868852459016389E-2</v>
      </c>
      <c r="I16" s="21">
        <f>SUMIFS('Raw Data'!$N:$N,'Raw Data'!$B:$B,$A16)</f>
        <v>4156129.15</v>
      </c>
      <c r="J16" s="21">
        <f>SUMIFS('Raw Data'!$O:$O,'Raw Data'!$B:$B,$A16)</f>
        <v>2893727.83</v>
      </c>
      <c r="K16" s="21">
        <f>SUMIFS('Raw Data'!$P:$P,'Raw Data'!$B:$B,$A16)</f>
        <v>1262401.3200000003</v>
      </c>
      <c r="L16" s="19">
        <f t="shared" si="0"/>
        <v>0.30374448782468666</v>
      </c>
    </row>
    <row r="17" spans="1:12" x14ac:dyDescent="0.3">
      <c r="A17" s="16" t="s">
        <v>56</v>
      </c>
      <c r="B17" s="17">
        <f>SUMIFS('Raw Data'!$G:$G,'Raw Data'!$B:$B,$A17)</f>
        <v>2876</v>
      </c>
      <c r="C17" s="17">
        <f>SUMIFS('Raw Data'!$H:$H,'Raw Data'!$B:$B,$A17)</f>
        <v>508814</v>
      </c>
      <c r="D17" s="18">
        <f>AVERAGEIFS('Raw Data'!$I:$I,'Raw Data'!$B:$B,$A17)</f>
        <v>537.56557377049182</v>
      </c>
      <c r="E17" s="19">
        <f>AVERAGEIFS('Raw Data'!$J:$J,'Raw Data'!$B:$B,$A17)</f>
        <v>0.68773770491803266</v>
      </c>
      <c r="F17" s="20">
        <f>AVERAGEIFS('Raw Data'!$K:$K,'Raw Data'!$B:$B,$A17)</f>
        <v>81.78196721311474</v>
      </c>
      <c r="G17" s="19">
        <f>AVERAGEIFS('Raw Data'!$L:$L,'Raw Data'!$B:$B,$A17)</f>
        <v>0.9037704918032784</v>
      </c>
      <c r="H17" s="19">
        <f>AVERAGEIFS('Raw Data'!$M:$M,'Raw Data'!$B:$B,$A17)</f>
        <v>2.6491803278688511E-2</v>
      </c>
      <c r="I17" s="21">
        <f>SUMIFS('Raw Data'!$N:$N,'Raw Data'!$B:$B,$A17)</f>
        <v>3958211.879999998</v>
      </c>
      <c r="J17" s="21">
        <f>SUMIFS('Raw Data'!$O:$O,'Raw Data'!$B:$B,$A17)</f>
        <v>2761958.7799999993</v>
      </c>
      <c r="K17" s="21">
        <f>SUMIFS('Raw Data'!$P:$P,'Raw Data'!$B:$B,$A17)</f>
        <v>1196253.1000000003</v>
      </c>
      <c r="L17" s="19">
        <f t="shared" si="0"/>
        <v>0.30222058249191069</v>
      </c>
    </row>
    <row r="18" spans="1:12" x14ac:dyDescent="0.3">
      <c r="A18" s="16" t="s">
        <v>57</v>
      </c>
      <c r="B18" s="17">
        <f>SUMIFS('Raw Data'!$G:$G,'Raw Data'!$B:$B,$A18)</f>
        <v>3125</v>
      </c>
      <c r="C18" s="17">
        <f>SUMIFS('Raw Data'!$H:$H,'Raw Data'!$B:$B,$A18)</f>
        <v>532468</v>
      </c>
      <c r="D18" s="18">
        <f>AVERAGEIFS('Raw Data'!$I:$I,'Raw Data'!$B:$B,$A18)</f>
        <v>574.05714285714282</v>
      </c>
      <c r="E18" s="19">
        <f>AVERAGEIFS('Raw Data'!$J:$J,'Raw Data'!$B:$B,$A18)</f>
        <v>0.71265079365079398</v>
      </c>
      <c r="F18" s="20">
        <f>AVERAGEIFS('Raw Data'!$K:$K,'Raw Data'!$B:$B,$A18)</f>
        <v>83.012698412698413</v>
      </c>
      <c r="G18" s="19">
        <f>AVERAGEIFS('Raw Data'!$L:$L,'Raw Data'!$B:$B,$A18)</f>
        <v>0.90268253968253942</v>
      </c>
      <c r="H18" s="19">
        <f>AVERAGEIFS('Raw Data'!$M:$M,'Raw Data'!$B:$B,$A18)</f>
        <v>2.9984126984126981E-2</v>
      </c>
      <c r="I18" s="21">
        <f>SUMIFS('Raw Data'!$N:$N,'Raw Data'!$B:$B,$A18)</f>
        <v>4544689.0200000014</v>
      </c>
      <c r="J18" s="21">
        <f>SUMIFS('Raw Data'!$O:$O,'Raw Data'!$B:$B,$A18)</f>
        <v>3127412.9899999998</v>
      </c>
      <c r="K18" s="21">
        <f>SUMIFS('Raw Data'!$P:$P,'Raw Data'!$B:$B,$A18)</f>
        <v>1417276.03</v>
      </c>
      <c r="L18" s="19">
        <f t="shared" si="0"/>
        <v>0.31185324755179827</v>
      </c>
    </row>
    <row r="19" spans="1:12" x14ac:dyDescent="0.3">
      <c r="A19" s="16" t="s">
        <v>58</v>
      </c>
      <c r="B19" s="17">
        <f>SUMIFS('Raw Data'!$G:$G,'Raw Data'!$B:$B,$A19)</f>
        <v>3843</v>
      </c>
      <c r="C19" s="17">
        <f>SUMIFS('Raw Data'!$H:$H,'Raw Data'!$B:$B,$A19)</f>
        <v>616021</v>
      </c>
      <c r="D19" s="18">
        <f>AVERAGEIFS('Raw Data'!$I:$I,'Raw Data'!$B:$B,$A19)</f>
        <v>564.11518987341765</v>
      </c>
      <c r="E19" s="19">
        <f>AVERAGEIFS('Raw Data'!$J:$J,'Raw Data'!$B:$B,$A19)</f>
        <v>0.71045569620253179</v>
      </c>
      <c r="F19" s="20">
        <f>AVERAGEIFS('Raw Data'!$K:$K,'Raw Data'!$B:$B,$A19)</f>
        <v>82.84303797468354</v>
      </c>
      <c r="G19" s="19">
        <f>AVERAGEIFS('Raw Data'!$L:$L,'Raw Data'!$B:$B,$A19)</f>
        <v>0.90778481012658219</v>
      </c>
      <c r="H19" s="19">
        <f>AVERAGEIFS('Raw Data'!$M:$M,'Raw Data'!$B:$B,$A19)</f>
        <v>2.5632911392405058E-2</v>
      </c>
      <c r="I19" s="21">
        <f>SUMIFS('Raw Data'!$N:$N,'Raw Data'!$B:$B,$A19)</f>
        <v>5548445.5399999991</v>
      </c>
      <c r="J19" s="21">
        <f>SUMIFS('Raw Data'!$O:$O,'Raw Data'!$B:$B,$A19)</f>
        <v>3845201.9500000007</v>
      </c>
      <c r="K19" s="21">
        <f>SUMIFS('Raw Data'!$P:$P,'Raw Data'!$B:$B,$A19)</f>
        <v>1703243.5899999996</v>
      </c>
      <c r="L19" s="19">
        <f t="shared" si="0"/>
        <v>0.30697671586049302</v>
      </c>
    </row>
    <row r="20" spans="1:12" x14ac:dyDescent="0.3">
      <c r="A20" s="16" t="s">
        <v>59</v>
      </c>
      <c r="B20" s="17">
        <f>SUMIFS('Raw Data'!$G:$G,'Raw Data'!$B:$B,$A20)</f>
        <v>3734</v>
      </c>
      <c r="C20" s="17">
        <f>SUMIFS('Raw Data'!$H:$H,'Raw Data'!$B:$B,$A20)</f>
        <v>565396</v>
      </c>
      <c r="D20" s="18">
        <f>AVERAGEIFS('Raw Data'!$I:$I,'Raw Data'!$B:$B,$A20)</f>
        <v>561.56056338028156</v>
      </c>
      <c r="E20" s="19">
        <f>AVERAGEIFS('Raw Data'!$J:$J,'Raw Data'!$B:$B,$A20)</f>
        <v>0.70761971830985937</v>
      </c>
      <c r="F20" s="20">
        <f>AVERAGEIFS('Raw Data'!$K:$K,'Raw Data'!$B:$B,$A20)</f>
        <v>82.507042253521149</v>
      </c>
      <c r="G20" s="19">
        <f>AVERAGEIFS('Raw Data'!$L:$L,'Raw Data'!$B:$B,$A20)</f>
        <v>0.88914084507042257</v>
      </c>
      <c r="H20" s="19">
        <f>AVERAGEIFS('Raw Data'!$M:$M,'Raw Data'!$B:$B,$A20)</f>
        <v>2.6788732394366188E-2</v>
      </c>
      <c r="I20" s="21">
        <f>SUMIFS('Raw Data'!$N:$N,'Raw Data'!$B:$B,$A20)</f>
        <v>5284444.92</v>
      </c>
      <c r="J20" s="21">
        <f>SUMIFS('Raw Data'!$O:$O,'Raw Data'!$B:$B,$A20)</f>
        <v>3723768.6799999992</v>
      </c>
      <c r="K20" s="21">
        <f>SUMIFS('Raw Data'!$P:$P,'Raw Data'!$B:$B,$A20)</f>
        <v>1560676.24</v>
      </c>
      <c r="L20" s="19">
        <f t="shared" si="0"/>
        <v>0.29533399697162516</v>
      </c>
    </row>
    <row r="21" spans="1:12" x14ac:dyDescent="0.3">
      <c r="A21" s="16" t="s">
        <v>60</v>
      </c>
      <c r="B21" s="17">
        <f>SUMIFS('Raw Data'!$G:$G,'Raw Data'!$B:$B,$A21)</f>
        <v>3271</v>
      </c>
      <c r="C21" s="17">
        <f>SUMIFS('Raw Data'!$H:$H,'Raw Data'!$B:$B,$A21)</f>
        <v>453278</v>
      </c>
      <c r="D21" s="18">
        <f>AVERAGEIFS('Raw Data'!$I:$I,'Raw Data'!$B:$B,$A21)</f>
        <v>548.77868852459028</v>
      </c>
      <c r="E21" s="19">
        <f>AVERAGEIFS('Raw Data'!$J:$J,'Raw Data'!$B:$B,$A21)</f>
        <v>0.70867213114754091</v>
      </c>
      <c r="F21" s="20">
        <f>AVERAGEIFS('Raw Data'!$K:$K,'Raw Data'!$B:$B,$A21)</f>
        <v>82.852459016393425</v>
      </c>
      <c r="G21" s="19">
        <f>AVERAGEIFS('Raw Data'!$L:$L,'Raw Data'!$B:$B,$A21)</f>
        <v>0.90180327868852439</v>
      </c>
      <c r="H21" s="19">
        <f>AVERAGEIFS('Raw Data'!$M:$M,'Raw Data'!$B:$B,$A21)</f>
        <v>2.7934426229508189E-2</v>
      </c>
      <c r="I21" s="21">
        <f>SUMIFS('Raw Data'!$N:$N,'Raw Data'!$B:$B,$A21)</f>
        <v>4600641.1900000004</v>
      </c>
      <c r="J21" s="21">
        <f>SUMIFS('Raw Data'!$O:$O,'Raw Data'!$B:$B,$A21)</f>
        <v>3255292.7800000003</v>
      </c>
      <c r="K21" s="21">
        <f>SUMIFS('Raw Data'!$P:$P,'Raw Data'!$B:$B,$A21)</f>
        <v>1345348.41</v>
      </c>
      <c r="L21" s="19">
        <f t="shared" si="0"/>
        <v>0.29242628460664627</v>
      </c>
    </row>
    <row r="22" spans="1:12" x14ac:dyDescent="0.3">
      <c r="A22" s="16" t="s">
        <v>61</v>
      </c>
      <c r="B22" s="17">
        <f>SUMIFS('Raw Data'!$G:$G,'Raw Data'!$B:$B,$A22)</f>
        <v>3761</v>
      </c>
      <c r="C22" s="17">
        <f>SUMIFS('Raw Data'!$H:$H,'Raw Data'!$B:$B,$A22)</f>
        <v>511281</v>
      </c>
      <c r="D22" s="18">
        <f>AVERAGEIFS('Raw Data'!$I:$I,'Raw Data'!$B:$B,$A22)</f>
        <v>542.20657894736837</v>
      </c>
      <c r="E22" s="19">
        <f>AVERAGEIFS('Raw Data'!$J:$J,'Raw Data'!$B:$B,$A22)</f>
        <v>0.71161842105263173</v>
      </c>
      <c r="F22" s="20">
        <f>AVERAGEIFS('Raw Data'!$K:$K,'Raw Data'!$B:$B,$A22)</f>
        <v>82.217105263157904</v>
      </c>
      <c r="G22" s="19">
        <f>AVERAGEIFS('Raw Data'!$L:$L,'Raw Data'!$B:$B,$A22)</f>
        <v>0.90940789473684225</v>
      </c>
      <c r="H22" s="19">
        <f>AVERAGEIFS('Raw Data'!$M:$M,'Raw Data'!$B:$B,$A22)</f>
        <v>2.7842105263157873E-2</v>
      </c>
      <c r="I22" s="21">
        <f>SUMIFS('Raw Data'!$N:$N,'Raw Data'!$B:$B,$A22)</f>
        <v>5408557.0500000026</v>
      </c>
      <c r="J22" s="21">
        <f>SUMIFS('Raw Data'!$O:$O,'Raw Data'!$B:$B,$A22)</f>
        <v>3809725.4300000006</v>
      </c>
      <c r="K22" s="21">
        <f>SUMIFS('Raw Data'!$P:$P,'Raw Data'!$B:$B,$A22)</f>
        <v>1598831.6199999994</v>
      </c>
      <c r="L22" s="19">
        <f t="shared" si="0"/>
        <v>0.2956114921631452</v>
      </c>
    </row>
    <row r="23" spans="1:12" x14ac:dyDescent="0.3">
      <c r="A23" s="16" t="s">
        <v>62</v>
      </c>
      <c r="B23" s="17">
        <f>SUMIFS('Raw Data'!$G:$G,'Raw Data'!$B:$B,$A23)</f>
        <v>3398</v>
      </c>
      <c r="C23" s="17">
        <f>SUMIFS('Raw Data'!$H:$H,'Raw Data'!$B:$B,$A23)</f>
        <v>478057</v>
      </c>
      <c r="D23" s="18">
        <f>AVERAGEIFS('Raw Data'!$I:$I,'Raw Data'!$B:$B,$A23)</f>
        <v>530.89705882352928</v>
      </c>
      <c r="E23" s="19">
        <f>AVERAGEIFS('Raw Data'!$J:$J,'Raw Data'!$B:$B,$A23)</f>
        <v>0.69679411764705879</v>
      </c>
      <c r="F23" s="20">
        <f>AVERAGEIFS('Raw Data'!$K:$K,'Raw Data'!$B:$B,$A23)</f>
        <v>82.295588235294133</v>
      </c>
      <c r="G23" s="19">
        <f>AVERAGEIFS('Raw Data'!$L:$L,'Raw Data'!$B:$B,$A23)</f>
        <v>0.89823529411764691</v>
      </c>
      <c r="H23" s="19">
        <f>AVERAGEIFS('Raw Data'!$M:$M,'Raw Data'!$B:$B,$A23)</f>
        <v>2.8794117647058817E-2</v>
      </c>
      <c r="I23" s="21">
        <f>SUMIFS('Raw Data'!$N:$N,'Raw Data'!$B:$B,$A23)</f>
        <v>4656532.8699999992</v>
      </c>
      <c r="J23" s="21">
        <f>SUMIFS('Raw Data'!$O:$O,'Raw Data'!$B:$B,$A23)</f>
        <v>3282076.9000000004</v>
      </c>
      <c r="K23" s="21">
        <f>SUMIFS('Raw Data'!$P:$P,'Raw Data'!$B:$B,$A23)</f>
        <v>1374455.9700000002</v>
      </c>
      <c r="L23" s="19">
        <f t="shared" si="0"/>
        <v>0.29516724317678883</v>
      </c>
    </row>
    <row r="24" spans="1:12" x14ac:dyDescent="0.3">
      <c r="A24" s="16" t="s">
        <v>63</v>
      </c>
      <c r="B24" s="17">
        <f>SUMIFS('Raw Data'!$G:$G,'Raw Data'!$B:$B,$A24)</f>
        <v>3299</v>
      </c>
      <c r="C24" s="17">
        <f>SUMIFS('Raw Data'!$H:$H,'Raw Data'!$B:$B,$A24)</f>
        <v>493151</v>
      </c>
      <c r="D24" s="18">
        <f>AVERAGEIFS('Raw Data'!$I:$I,'Raw Data'!$B:$B,$A24)</f>
        <v>568.28181818181815</v>
      </c>
      <c r="E24" s="19">
        <f>AVERAGEIFS('Raw Data'!$J:$J,'Raw Data'!$B:$B,$A24)</f>
        <v>0.71142424242424218</v>
      </c>
      <c r="F24" s="20">
        <f>AVERAGEIFS('Raw Data'!$K:$K,'Raw Data'!$B:$B,$A24)</f>
        <v>83.12878787878789</v>
      </c>
      <c r="G24" s="19">
        <f>AVERAGEIFS('Raw Data'!$L:$L,'Raw Data'!$B:$B,$A24)</f>
        <v>0.89262121212121215</v>
      </c>
      <c r="H24" s="19">
        <f>AVERAGEIFS('Raw Data'!$M:$M,'Raw Data'!$B:$B,$A24)</f>
        <v>3.7696969696969687E-2</v>
      </c>
      <c r="I24" s="21">
        <f>SUMIFS('Raw Data'!$N:$N,'Raw Data'!$B:$B,$A24)</f>
        <v>4866034.870000001</v>
      </c>
      <c r="J24" s="21">
        <f>SUMIFS('Raw Data'!$O:$O,'Raw Data'!$B:$B,$A24)</f>
        <v>3367480.06</v>
      </c>
      <c r="K24" s="21">
        <f>SUMIFS('Raw Data'!$P:$P,'Raw Data'!$B:$B,$A24)</f>
        <v>1498554.8100000005</v>
      </c>
      <c r="L24" s="19">
        <f t="shared" si="0"/>
        <v>0.30796220126552448</v>
      </c>
    </row>
    <row r="25" spans="1:12" x14ac:dyDescent="0.3">
      <c r="A25" s="16" t="s">
        <v>64</v>
      </c>
      <c r="B25" s="17">
        <f>SUMIFS('Raw Data'!$G:$G,'Raw Data'!$B:$B,$A25)</f>
        <v>3125</v>
      </c>
      <c r="C25" s="17">
        <f>SUMIFS('Raw Data'!$H:$H,'Raw Data'!$B:$B,$A25)</f>
        <v>504681</v>
      </c>
      <c r="D25" s="18">
        <f>AVERAGEIFS('Raw Data'!$I:$I,'Raw Data'!$B:$B,$A25)</f>
        <v>566.72205882352944</v>
      </c>
      <c r="E25" s="19">
        <f>AVERAGEIFS('Raw Data'!$J:$J,'Raw Data'!$B:$B,$A25)</f>
        <v>0.71110294117647033</v>
      </c>
      <c r="F25" s="20">
        <f>AVERAGEIFS('Raw Data'!$K:$K,'Raw Data'!$B:$B,$A25)</f>
        <v>83.217647058823559</v>
      </c>
      <c r="G25" s="19">
        <f>AVERAGEIFS('Raw Data'!$L:$L,'Raw Data'!$B:$B,$A25)</f>
        <v>0.90770588235294114</v>
      </c>
      <c r="H25" s="19">
        <f>AVERAGEIFS('Raw Data'!$M:$M,'Raw Data'!$B:$B,$A25)</f>
        <v>3.6897058823529401E-2</v>
      </c>
      <c r="I25" s="21">
        <f>SUMIFS('Raw Data'!$N:$N,'Raw Data'!$B:$B,$A25)</f>
        <v>4438030.6400000015</v>
      </c>
      <c r="J25" s="21">
        <f>SUMIFS('Raw Data'!$O:$O,'Raw Data'!$B:$B,$A25)</f>
        <v>3100963.9300000006</v>
      </c>
      <c r="K25" s="21">
        <f>SUMIFS('Raw Data'!$P:$P,'Raw Data'!$B:$B,$A25)</f>
        <v>1337066.7100000002</v>
      </c>
      <c r="L25" s="19">
        <f t="shared" si="0"/>
        <v>0.30127478119439027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14"/>
  <sheetViews>
    <sheetView zoomScaleNormal="100" workbookViewId="0"/>
  </sheetViews>
  <sheetFormatPr defaultColWidth="8.6640625" defaultRowHeight="14.4" x14ac:dyDescent="0.3"/>
  <cols>
    <col min="2" max="2" width="100" customWidth="1"/>
  </cols>
  <sheetData>
    <row r="2" spans="2:2" ht="15.6" x14ac:dyDescent="0.3">
      <c r="B2" s="3" t="s">
        <v>73</v>
      </c>
    </row>
    <row r="4" spans="2:2" x14ac:dyDescent="0.3">
      <c r="B4" s="4" t="s">
        <v>74</v>
      </c>
    </row>
    <row r="5" spans="2:2" x14ac:dyDescent="0.3">
      <c r="B5" s="4" t="s">
        <v>75</v>
      </c>
    </row>
    <row r="6" spans="2:2" x14ac:dyDescent="0.3">
      <c r="B6" s="4" t="s">
        <v>76</v>
      </c>
    </row>
    <row r="7" spans="2:2" x14ac:dyDescent="0.3">
      <c r="B7" s="4"/>
    </row>
    <row r="8" spans="2:2" x14ac:dyDescent="0.3">
      <c r="B8" s="4" t="s">
        <v>77</v>
      </c>
    </row>
    <row r="9" spans="2:2" x14ac:dyDescent="0.3">
      <c r="B9" s="4" t="s">
        <v>78</v>
      </c>
    </row>
    <row r="10" spans="2:2" x14ac:dyDescent="0.3">
      <c r="B10" s="4" t="s">
        <v>79</v>
      </c>
    </row>
    <row r="11" spans="2:2" x14ac:dyDescent="0.3">
      <c r="B11" s="4"/>
    </row>
    <row r="12" spans="2:2" x14ac:dyDescent="0.3">
      <c r="B12" s="4" t="s">
        <v>80</v>
      </c>
    </row>
    <row r="13" spans="2:2" x14ac:dyDescent="0.3">
      <c r="B13" s="4" t="s">
        <v>81</v>
      </c>
    </row>
    <row r="14" spans="2:2" x14ac:dyDescent="0.3">
      <c r="B14" s="4" t="s">
        <v>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Raw Data</vt:lpstr>
      <vt:lpstr>Region Summary</vt:lpstr>
      <vt:lpstr>Client Summary</vt:lpstr>
      <vt:lpstr>Campaign Summary</vt:lpstr>
      <vt:lpstr>Monthly Trend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Sambit Kumar Nayak</cp:lastModifiedBy>
  <cp:revision>1</cp:revision>
  <dcterms:created xsi:type="dcterms:W3CDTF">2026-09-18T11:25:45Z</dcterms:created>
  <dcterms:modified xsi:type="dcterms:W3CDTF">2026-09-19T11:10:32Z</dcterms:modified>
  <dc:language>en-US</dc:language>
</cp:coreProperties>
</file>